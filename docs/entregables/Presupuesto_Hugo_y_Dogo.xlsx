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Resumen" sheetId="2" state="visible" r:id="rId4"/>
    <sheet name="Analisis_Financiero" sheetId="3" state="visible" r:id="rId5"/>
    <sheet name="Supuestos" sheetId="4" state="visible" r:id="rId6"/>
    <sheet name="A_Prototipo" sheetId="5" state="visible" r:id="rId7"/>
    <sheet name="B_Inversion" sheetId="6" state="visible" r:id="rId8"/>
    <sheet name="C_Operacion" sheetId="7" state="visible" r:id="rId9"/>
    <sheet name="Valor_Impact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<sst xmlns="http://schemas.openxmlformats.org/spreadsheetml/2006/main" count="522" uniqueCount="356">
  <si>
    <t xml:space="preserve">Modelo de presupuesto — Hugo y Dogo (N Club · Sabana Hack 2026)</t>
  </si>
  <si>
    <t xml:space="preserve">Cómo usar este archivo</t>
  </si>
  <si>
    <t xml:space="preserve">1. Edite solo la hoja 'Supuestos' (y las celdas azules de 'A_Prototipo' y de la tabla de escalamiento en 'Resumen'). Todo lo demás se calcula solo.</t>
  </si>
  <si>
    <t xml:space="preserve">2. Celdas en texto AZUL = datos de entrada. Celdas con fondo AMARILLO = supuestos clave; se recomienda reemplazarlos por cotizaciones cuando estén disponibles.</t>
  </si>
  <si>
    <t xml:space="preserve">3. Texto NEGRO = fórmulas. Texto VERDE = vínculos a otra hoja. No sobrescriba esas celdas.</t>
  </si>
  <si>
    <t xml:space="preserve">4. Cada concepto tiene tres escenarios: Bajo, Base y Alto. El escenario Base es la referencia de la propuesta.</t>
  </si>
  <si>
    <t xml:space="preserve">Estructura</t>
  </si>
  <si>
    <t xml:space="preserve">Supuestos — todos los insumos con su fuente o la marca 'Supuesto del equipo'.</t>
  </si>
  <si>
    <t xml:space="preserve">Resumen — cifras clave por escenario, alternativa Robots-as-a-Service y escalamiento de la flota.</t>
  </si>
  <si>
    <t xml:space="preserve">A_Prototipo — lo que costó el prototipo en la Sabana Hack (valor de referencia vs. costo en caja). Los robots prestados no hacen gratis el despliegue.</t>
  </si>
  <si>
    <t xml:space="preserve">B_Inversion — inversión inicial (CAPEX) para llevar Hugo y Dogo a producción en N Club.</t>
  </si>
  <si>
    <t xml:space="preserve">C_Operacion — costo anual de operación (OPEX).</t>
  </si>
  <si>
    <t xml:space="preserve">Valor_Impacto — hipótesis de tiempo liberado y costo por interacción. Es una meta por validar, NO un ahorro ni una reducción de personal.</t>
  </si>
  <si>
    <t xml:space="preserve">Analisis_Financiero — el club compra la solución: costo total, retorno objetivo, fuentes de valor por validar, ROI, VPN, TIR, tiempo de retorno, punto de equilibrio y sensibilidad.</t>
  </si>
  <si>
    <t xml:space="preserve">Alcance</t>
  </si>
  <si>
    <t xml:space="preserve">Modelo principal: N Club compra e implementa Hugo y Dogo. Robots-as-a-Service aparece solo como alternativa a explorar.</t>
  </si>
  <si>
    <t xml:space="preserve">N Club tiene una sola sede. El modelo costea esa sede; el escalamiento consiste en ampliar la flota (más humanoides X2 o más cuadrúpedos D1), no en abrir sedes.</t>
  </si>
  <si>
    <t xml:space="preserve">Cada concepto está marcado como 'Fijo' (no cambia con la flota) o 'Por robot' (crece con cada X2 o D1 adicional).</t>
  </si>
  <si>
    <t xml:space="preserve">Configuración de referencia: 1 humanoide AgiBot X2 en recepción y 1 cuadrúpedo AgiBot D1 Edu de acompañamiento.</t>
  </si>
  <si>
    <t xml:space="preserve">Moneda</t>
  </si>
  <si>
    <t xml:space="preserve">Todo se expresa en USD; los costos locales se ingresan en COP y se convierten con la TRM de 'Supuestos'.</t>
  </si>
  <si>
    <t xml:space="preserve">Advertencia</t>
  </si>
  <si>
    <t xml:space="preserve">Solo los precios de hardware, la TRM y el IVA tienen fuente pública. El resto son supuestos del equipo para presentar con rango, no cotizaciones.</t>
  </si>
  <si>
    <t xml:space="preserve">Resumen — Presupuesto Hugo y Dogo para N Club</t>
  </si>
  <si>
    <t xml:space="preserve">Sede única de N Club. Configuración de referencia: 1 humanoide AgiBot X2 y 1 cuadrúpedo AgiBot D1 Edu.</t>
  </si>
  <si>
    <t xml:space="preserve">Cifra clave</t>
  </si>
  <si>
    <t xml:space="preserve">Unidad</t>
  </si>
  <si>
    <t xml:space="preserve">Bajo</t>
  </si>
  <si>
    <t xml:space="preserve">Base</t>
  </si>
  <si>
    <t xml:space="preserve">Alto</t>
  </si>
  <si>
    <t xml:space="preserve">Nota</t>
  </si>
  <si>
    <t xml:space="preserve">Prototipo hackathon — valor de referencia usado</t>
  </si>
  <si>
    <t xml:space="preserve">USD</t>
  </si>
  <si>
    <t xml:space="preserve">Costo en caja ≈ 0: robots prestados, créditos estudiantiles.</t>
  </si>
  <si>
    <t xml:space="preserve">Inversión inicial (CAPEX)</t>
  </si>
  <si>
    <t xml:space="preserve">Hardware, importación, desarrollo, puesta en marcha y contingencia.</t>
  </si>
  <si>
    <t xml:space="preserve">Operación anual (OPEX)</t>
  </si>
  <si>
    <t xml:space="preserve">USD / año</t>
  </si>
  <si>
    <t xml:space="preserve">Nube, IA, mantenimiento, soporte, supervisión y seguro.</t>
  </si>
  <si>
    <t xml:space="preserve">Costo mensual amortizado</t>
  </si>
  <si>
    <t xml:space="preserve">USD / mes</t>
  </si>
  <si>
    <t xml:space="preserve">Inversión ÷ vida útil + operación ÷ 12.</t>
  </si>
  <si>
    <t xml:space="preserve">Costo total de propiedad a 3 años (TCO)</t>
  </si>
  <si>
    <t xml:space="preserve">Inversión + 3 años de operación.</t>
  </si>
  <si>
    <t xml:space="preserve">Alternativa a explorar: mensualidad Robots-as-a-Service</t>
  </si>
  <si>
    <t xml:space="preserve">Opcional: arrendamiento para evitar la inversión inicial. No es el modelo principal.</t>
  </si>
  <si>
    <t xml:space="preserve">Costo por interacción atendida</t>
  </si>
  <si>
    <t xml:space="preserve">Hipótesis de volumen por validar.</t>
  </si>
  <si>
    <t xml:space="preserve">Equivalente en pesos colombianos</t>
  </si>
  <si>
    <t xml:space="preserve">COP millones</t>
  </si>
  <si>
    <t xml:space="preserve">A la TRM de 'Supuestos'.</t>
  </si>
  <si>
    <t xml:space="preserve">COP millones / año</t>
  </si>
  <si>
    <t xml:space="preserve">COP millones / mes</t>
  </si>
  <si>
    <t xml:space="preserve">Escalamiento de la flota en N Club (escenario Base)</t>
  </si>
  <si>
    <t xml:space="preserve">El club tiene una sola sede: escalar significa sumar robots según la demanda. Edite las cantidades en azul.</t>
  </si>
  <si>
    <t xml:space="preserve">Configuración</t>
  </si>
  <si>
    <t xml:space="preserve">Humanoides X2</t>
  </si>
  <si>
    <t xml:space="preserve">Cuadrúpedos D1</t>
  </si>
  <si>
    <t xml:space="preserve">Inversión inicial (USD)</t>
  </si>
  <si>
    <t xml:space="preserve">Operación anual (USD)</t>
  </si>
  <si>
    <t xml:space="preserve">Costo mensual (USD)</t>
  </si>
  <si>
    <t xml:space="preserve">TCO 3 años (USD)</t>
  </si>
  <si>
    <t xml:space="preserve">Referencia: recepción + acompañamiento</t>
  </si>
  <si>
    <t xml:space="preserve">Más acompañamientos simultáneos</t>
  </si>
  <si>
    <t xml:space="preserve">Segundo punto de atención (p. ej. acceso de personal y externos)</t>
  </si>
  <si>
    <t xml:space="preserve">Cobertura ampliada en eventos y horas pico</t>
  </si>
  <si>
    <t xml:space="preserve">Lectura: desarrollo, integración, privacidad y soporte se pagan una sola vez; cada robot adicional solo suma su hardware, importación, mantenimiento y seguro. Un D1 extra es la forma más barata de crecer.</t>
  </si>
  <si>
    <t xml:space="preserve">Análisis financiero — N Club compra e implementa Hugo y Dogo</t>
  </si>
  <si>
    <t xml:space="preserve">Costos en escenario Base. Beneficios en tres escenarios (Conservador / Base / Optimista): son hipótesis de demostración por validar en el piloto, NO datos medidos de N Club.</t>
  </si>
  <si>
    <t xml:space="preserve">1. Costo para el club (escenario Base de costos)</t>
  </si>
  <si>
    <t xml:space="preserve">Inversión inicial</t>
  </si>
  <si>
    <t xml:space="preserve">Operación anual</t>
  </si>
  <si>
    <t xml:space="preserve">Operación mensual</t>
  </si>
  <si>
    <t xml:space="preserve">Costo total de propiedad a 3 años</t>
  </si>
  <si>
    <t xml:space="preserve">2. Retorno objetivo: ¿cuánto valor mensual debe generar para recuperarse?</t>
  </si>
  <si>
    <t xml:space="preserve">Plazo para recuperar la inversión</t>
  </si>
  <si>
    <t xml:space="preserve">Meses</t>
  </si>
  <si>
    <t xml:space="preserve">Valor mensual necesario (USD)</t>
  </si>
  <si>
    <t xml:space="preserve">Equivalente (COP millones / mes)</t>
  </si>
  <si>
    <t xml:space="preserve">Cálculo</t>
  </si>
  <si>
    <t xml:space="preserve">Recuperar en 2 años</t>
  </si>
  <si>
    <t xml:space="preserve">inversión ÷ meses + operación mensual</t>
  </si>
  <si>
    <t xml:space="preserve">Recuperar en 3 años</t>
  </si>
  <si>
    <t xml:space="preserve">Recuperar en 4 años</t>
  </si>
  <si>
    <t xml:space="preserve">3. Fuentes de valor (hipótesis por validar en el piloto)</t>
  </si>
  <si>
    <t xml:space="preserve">Supuesto</t>
  </si>
  <si>
    <t xml:space="preserve">Conservador</t>
  </si>
  <si>
    <t xml:space="preserve">Optimista</t>
  </si>
  <si>
    <t xml:space="preserve">Reservas sugeridas por el robot (flujos VIP y regular)</t>
  </si>
  <si>
    <t xml:space="preserve">Reservas adicionales que generan Hugo y Dogo</t>
  </si>
  <si>
    <t xml:space="preserve">reservas / día</t>
  </si>
  <si>
    <t xml:space="preserve">Supuesto del equipo — dato de demostración, validar con N Club. Reservas que no ocurrirían sin la sugerencia activa del robot.</t>
  </si>
  <si>
    <t xml:space="preserve">Ticket promedio por reserva (restaurante, spa, golf)</t>
  </si>
  <si>
    <t xml:space="preserve">COP</t>
  </si>
  <si>
    <t xml:space="preserve">Supuesto del equipo — dato de demostración, validar con N Club.</t>
  </si>
  <si>
    <t xml:space="preserve">Margen de contribución de la reserva</t>
  </si>
  <si>
    <t xml:space="preserve">%</t>
  </si>
  <si>
    <t xml:space="preserve">Retención de miembros por mejor experiencia</t>
  </si>
  <si>
    <t xml:space="preserve">Membresías que se dejan de perder</t>
  </si>
  <si>
    <t xml:space="preserve">membresías / año</t>
  </si>
  <si>
    <t xml:space="preserve">Cuota mensual de sostenimiento</t>
  </si>
  <si>
    <t xml:space="preserve">COP / mes</t>
  </si>
  <si>
    <t xml:space="preserve">Supuesto del equipo — dato de demostración, validar con N Club. Cada membresía retenida aporta su cuota mensual.</t>
  </si>
  <si>
    <t xml:space="preserve">Tiempo del personal en inicio de jornada</t>
  </si>
  <si>
    <t xml:space="preserve">Empleados que reciben novedades del robot</t>
  </si>
  <si>
    <t xml:space="preserve">empleados / día</t>
  </si>
  <si>
    <t xml:space="preserve">Minutos ahorrados por empleado</t>
  </si>
  <si>
    <t xml:space="preserve">minutos</t>
  </si>
  <si>
    <t xml:space="preserve">Supuesto del equipo — dato de demostración, validar con N Club. Frente a buscar al coordinador o revisar carteleras.</t>
  </si>
  <si>
    <t xml:space="preserve">Costo mensual cargado de un empleado</t>
  </si>
  <si>
    <t xml:space="preserve">Acompañamiento de trabajadores externos</t>
  </si>
  <si>
    <t xml:space="preserve">Trabajadores externos atendidos</t>
  </si>
  <si>
    <t xml:space="preserve">externos / día</t>
  </si>
  <si>
    <t xml:space="preserve">Minutos de acompañamiento humano que hace el D1</t>
  </si>
  <si>
    <t xml:space="preserve">minutos / externo</t>
  </si>
  <si>
    <t xml:space="preserve">Parámetros financieros</t>
  </si>
  <si>
    <t xml:space="preserve">Tasa de descuento anual</t>
  </si>
  <si>
    <t xml:space="preserve">Supuesto del equipo: costo de oportunidad del capital para el club.</t>
  </si>
  <si>
    <t xml:space="preserve">Valor mensual por fuente</t>
  </si>
  <si>
    <t xml:space="preserve">Margen de reservas adicionales</t>
  </si>
  <si>
    <t xml:space="preserve">reservas/día × días × ticket × margen ÷ TRM</t>
  </si>
  <si>
    <t xml:space="preserve">Cuotas de membresías retenidas</t>
  </si>
  <si>
    <t xml:space="preserve">membresías × cuota ÷ TRM</t>
  </si>
  <si>
    <t xml:space="preserve">Tiempo de recepción liberado (meta 30 %)</t>
  </si>
  <si>
    <t xml:space="preserve">hoja Valor_Impacto</t>
  </si>
  <si>
    <t xml:space="preserve">empleados × min ÷ 60 × días × costo hora ÷ TRM</t>
  </si>
  <si>
    <t xml:space="preserve">Acompañamiento humano de externos que asume el D1</t>
  </si>
  <si>
    <t xml:space="preserve">externos × min ÷ 60 × días × costo hora recepción ÷ TRM</t>
  </si>
  <si>
    <t xml:space="preserve">Valor mensual total</t>
  </si>
  <si>
    <t xml:space="preserve">Cobertura del valor necesario para recuperar en 3 años</t>
  </si>
  <si>
    <t xml:space="preserve">valor mensual total ÷ valor necesario a 36 meses</t>
  </si>
  <si>
    <t xml:space="preserve">4. Flujo de caja para el club (USD)</t>
  </si>
  <si>
    <t xml:space="preserve">Año</t>
  </si>
  <si>
    <t xml:space="preserve">Año 0</t>
  </si>
  <si>
    <t xml:space="preserve">− inversión inicial</t>
  </si>
  <si>
    <t xml:space="preserve">Año 1</t>
  </si>
  <si>
    <t xml:space="preserve">valor anual − operación anual</t>
  </si>
  <si>
    <t xml:space="preserve">Año 2</t>
  </si>
  <si>
    <t xml:space="preserve">Año 3</t>
  </si>
  <si>
    <t xml:space="preserve">5. Indicadores de rentabilidad para el club (horizonte 3 años)</t>
  </si>
  <si>
    <t xml:space="preserve">Indicador</t>
  </si>
  <si>
    <t xml:space="preserve">Valor anual generado</t>
  </si>
  <si>
    <t xml:space="preserve">valor mensual × 12</t>
  </si>
  <si>
    <t xml:space="preserve">Flujo neto anual</t>
  </si>
  <si>
    <t xml:space="preserve">valor anual − operación</t>
  </si>
  <si>
    <t xml:space="preserve">ROI a 3 años</t>
  </si>
  <si>
    <t xml:space="preserve">(suma de flujos) ÷ inversión</t>
  </si>
  <si>
    <t xml:space="preserve">Valor presente neto (VPN)</t>
  </si>
  <si>
    <t xml:space="preserve">flujo año 0 + VPN(tasa, años 1–3)</t>
  </si>
  <si>
    <t xml:space="preserve">Tasa interna de retorno (TIR)</t>
  </si>
  <si>
    <t xml:space="preserve">TIR de los flujos; 'No aplica' si nunca se recupera</t>
  </si>
  <si>
    <t xml:space="preserve">Tiempo de retorno de la inversión</t>
  </si>
  <si>
    <t xml:space="preserve">meses</t>
  </si>
  <si>
    <t xml:space="preserve">inversión ÷ flujo neto anual × 12</t>
  </si>
  <si>
    <t xml:space="preserve">ROIC no se calcula: es una métrica de empresa (utilidad operativa sobre todo el capital invertido); para un solo proyecto equivale al ROI con otro nombre.</t>
  </si>
  <si>
    <t xml:space="preserve">6. Punto de equilibrio: ¿cuántas reservas adicionales al día hacen falta?</t>
  </si>
  <si>
    <t xml:space="preserve">Meta</t>
  </si>
  <si>
    <t xml:space="preserve">Reservas adicionales al día para recuperar en 3 años</t>
  </si>
  <si>
    <t xml:space="preserve">(valor necesario − otras fuentes) ÷ margen mensual de 1 reserva diaria</t>
  </si>
  <si>
    <t xml:space="preserve">Reservas adicionales al día para recuperar en 4 años</t>
  </si>
  <si>
    <t xml:space="preserve">7. Sensibilidad: tiempo de retorno en meses (costos × beneficios)</t>
  </si>
  <si>
    <t xml:space="preserve">Escenario de costos</t>
  </si>
  <si>
    <t xml:space="preserve">Beneficio conservador</t>
  </si>
  <si>
    <t xml:space="preserve">Beneficio base</t>
  </si>
  <si>
    <t xml:space="preserve">Beneficio optimista</t>
  </si>
  <si>
    <t xml:space="preserve">Lectura</t>
  </si>
  <si>
    <t xml:space="preserve">Costos bajos</t>
  </si>
  <si>
    <t xml:space="preserve">Por encima de 36 meses, el retorno supera la vida útil supuesta del hardware.</t>
  </si>
  <si>
    <t xml:space="preserve">Costos base</t>
  </si>
  <si>
    <t xml:space="preserve">Costos altos</t>
  </si>
  <si>
    <t xml:space="preserve">8. Alternativa a explorar: arrendamiento (Robots-as-a-Service)</t>
  </si>
  <si>
    <t xml:space="preserve">Mensualidad estimada si un proveedor asume la inversión</t>
  </si>
  <si>
    <t xml:space="preserve">No es el modelo principal. Evita la inversión inicial a cambio de un costo mensual mayor.</t>
  </si>
  <si>
    <t xml:space="preserve">Supuestos del modelo</t>
  </si>
  <si>
    <t xml:space="preserve">Celdas azules = entradas editables. Fondo amarillo = supuesto clave a revisar o reemplazar por una cotización.</t>
  </si>
  <si>
    <t xml:space="preserve">Concepto</t>
  </si>
  <si>
    <t xml:space="preserve">Fuente / nota</t>
  </si>
  <si>
    <t xml:space="preserve">Generales</t>
  </si>
  <si>
    <t xml:space="preserve">TRM</t>
  </si>
  <si>
    <t xml:space="preserve">COP por USD</t>
  </si>
  <si>
    <t xml:space="preserve">TRM oficial 21-oct-2026: COP 3.163,76 (Portafolio). Actualizar el día de la entrega.</t>
  </si>
  <si>
    <t xml:space="preserve">Humanoides X2 en la flota</t>
  </si>
  <si>
    <t xml:space="preserve">unidades</t>
  </si>
  <si>
    <t xml:space="preserve">Recepción principal. Para escalar, use la tabla de escalamiento en 'Resumen'.</t>
  </si>
  <si>
    <t xml:space="preserve">Cuadrúpedos D1 en la flota</t>
  </si>
  <si>
    <t xml:space="preserve">Acompañamiento, carga y escolta.</t>
  </si>
  <si>
    <t xml:space="preserve">Vida útil para amortizar el CAPEX</t>
  </si>
  <si>
    <t xml:space="preserve">Supuesto del equipo: 3 años de vida útil del hardware.</t>
  </si>
  <si>
    <t xml:space="preserve">Hardware (precio unitario)</t>
  </si>
  <si>
    <t xml:space="preserve">Humanoide AgiBot X2</t>
  </si>
  <si>
    <t xml:space="preserve">USD / unidad</t>
  </si>
  <si>
    <t xml:space="preserve">AgiBot Store: X2 Neo USD 25.600 (store.agibot.com/products/x2). GlobalDroneHQ guía 2026: X2 USD 27.999, X2 Ultra USD 42.999. Alto = versión Ultra.</t>
  </si>
  <si>
    <t xml:space="preserve">Cuadrúpedo AgiBot D1</t>
  </si>
  <si>
    <t xml:space="preserve">AgiBot Store: D1 Edu USD 6.080 (store.agibot.com/products/d1-edu). GlobalDroneHQ guía 2026: D1 Edu USD 7.199; D1 Ultra USD 7.999. Edu incluye SDK y 5 kg de carga.</t>
  </si>
  <si>
    <t xml:space="preserve">Baterías de repuesto por X2</t>
  </si>
  <si>
    <t xml:space="preserve">Supuesto del equipo: una batería extra permite operar jornadas completas.</t>
  </si>
  <si>
    <t xml:space="preserve">Precio batería de repuesto</t>
  </si>
  <si>
    <t xml:space="preserve">GlobalDroneHQ guía 2026 (accesorio listado para X2 Ultra).</t>
  </si>
  <si>
    <t xml:space="preserve">Flete, seguro de transporte y aranceles</t>
  </si>
  <si>
    <t xml:space="preserve">% del hardware</t>
  </si>
  <si>
    <t xml:space="preserve">Supuesto del equipo — POR COTIZAR con un agente de aduanas.</t>
  </si>
  <si>
    <t xml:space="preserve">IVA Colombia</t>
  </si>
  <si>
    <t xml:space="preserve">Tarifa general de IVA en Colombia.</t>
  </si>
  <si>
    <t xml:space="preserve">Infraestructura del club</t>
  </si>
  <si>
    <t xml:space="preserve">Servidor edge (reconocimiento facial e IA local)</t>
  </si>
  <si>
    <t xml:space="preserve">USD (único)</t>
  </si>
  <si>
    <t xml:space="preserve">Supuesto del equipo — se recomienda reemplazar por cotización. PC con GPU para procesar video sin enviarlo a la nube. Con más de 2 X2 podría requerir más capacidad.</t>
  </si>
  <si>
    <t xml:space="preserve">Red WiFi, puntos de acceso y estaciones de carga</t>
  </si>
  <si>
    <t xml:space="preserve">Supuesto del equipo — se recomienda reemplazar por cotización.</t>
  </si>
  <si>
    <t xml:space="preserve">Desarrollo e integración (costo único)</t>
  </si>
  <si>
    <t xml:space="preserve">Personas en el equipo de desarrollo</t>
  </si>
  <si>
    <t xml:space="preserve">personas</t>
  </si>
  <si>
    <t xml:space="preserve">Duración del desarrollo hasta producción</t>
  </si>
  <si>
    <t xml:space="preserve">Supuesto del equipo — se recomienda reemplazar por cotización. Incluye integración con membresías, invitaciones y órdenes de trabajo.</t>
  </si>
  <si>
    <t xml:space="preserve">Costo mensual por persona (cargado)</t>
  </si>
  <si>
    <t xml:space="preserve">Supuesto del equipo — se recomienda reemplazar por cotización. Ajustar a la tarifa real de mercado.</t>
  </si>
  <si>
    <t xml:space="preserve">Puesta en marcha</t>
  </si>
  <si>
    <t xml:space="preserve">Mapeo SLAM del club, geo-fencing y pruebas en sitio</t>
  </si>
  <si>
    <t xml:space="preserve">Privacidad de datos biométricos (Ley 1581)</t>
  </si>
  <si>
    <t xml:space="preserve">COP (único)</t>
  </si>
  <si>
    <t xml:space="preserve">Supuesto del equipo — se recomienda reemplazar por cotización. Evaluación de impacto, consentimiento y políticas. La biometría es dato sensible.</t>
  </si>
  <si>
    <t xml:space="preserve">Capacitación inicial del personal</t>
  </si>
  <si>
    <t xml:space="preserve">Duración del piloto</t>
  </si>
  <si>
    <t xml:space="preserve">Piloto previo a la operación, según la propuesta.</t>
  </si>
  <si>
    <t xml:space="preserve">Supervisión humana durante el piloto</t>
  </si>
  <si>
    <t xml:space="preserve">horas / día</t>
  </si>
  <si>
    <t xml:space="preserve">Contingencia</t>
  </si>
  <si>
    <t xml:space="preserve">% del subtotal</t>
  </si>
  <si>
    <t xml:space="preserve">Práctica usual en proyectos de tecnología: 10–15 %.</t>
  </si>
  <si>
    <t xml:space="preserve">Personal de recepción (para valorar tiempo)</t>
  </si>
  <si>
    <t xml:space="preserve">Costo mensual cargado de un recepcionista</t>
  </si>
  <si>
    <t xml:space="preserve">Supuesto del equipo — se recomienda reemplazar por cotización. Incluye prestaciones sociales.</t>
  </si>
  <si>
    <t xml:space="preserve">Horas laborales al mes</t>
  </si>
  <si>
    <t xml:space="preserve">horas</t>
  </si>
  <si>
    <t xml:space="preserve">Referencia: 8 h × 24 días.</t>
  </si>
  <si>
    <t xml:space="preserve">Días de operación del club al mes</t>
  </si>
  <si>
    <t xml:space="preserve">días</t>
  </si>
  <si>
    <t xml:space="preserve">Nube, base de datos y almacenamiento</t>
  </si>
  <si>
    <t xml:space="preserve">Supuesto del equipo — se recomienda reemplazar por cotización. En la hackathon se cubre con créditos estudiantiles.</t>
  </si>
  <si>
    <t xml:space="preserve">APIs de voz e IA conversacional</t>
  </si>
  <si>
    <t xml:space="preserve">USD / mes por X2</t>
  </si>
  <si>
    <t xml:space="preserve">Supuesto del equipo — se recomienda reemplazar por cotización. Voz a texto, texto a voz y modelo de lenguaje; crece con cada humanoide.</t>
  </si>
  <si>
    <t xml:space="preserve">Mantenimiento y repuestos</t>
  </si>
  <si>
    <t xml:space="preserve">% del hardware / año</t>
  </si>
  <si>
    <t xml:space="preserve">Soporte y evolución del software</t>
  </si>
  <si>
    <t xml:space="preserve">personas (FTE)</t>
  </si>
  <si>
    <t xml:space="preserve">Supuesto del equipo — se recomienda reemplazar por cotización. Usa el costo mensual por persona de desarrollo.</t>
  </si>
  <si>
    <t xml:space="preserve">Supervisión humana en operación</t>
  </si>
  <si>
    <t xml:space="preserve">Tiempo de recepción dedicado a excepciones ('Protocolo de Calidez ante la Duda').</t>
  </si>
  <si>
    <t xml:space="preserve">Seguro todo riesgo de los equipos</t>
  </si>
  <si>
    <t xml:space="preserve">Recapacitación anual</t>
  </si>
  <si>
    <t xml:space="preserve">COP / año</t>
  </si>
  <si>
    <t xml:space="preserve">Energía eléctrica</t>
  </si>
  <si>
    <t xml:space="preserve">USD / año por robot</t>
  </si>
  <si>
    <t xml:space="preserve">Modelo de negocio (Robots-as-a-Service)</t>
  </si>
  <si>
    <t xml:space="preserve">Margen sobre el costo mensual</t>
  </si>
  <si>
    <t xml:space="preserve">Hipótesis de impacto (por validar en el piloto)</t>
  </si>
  <si>
    <t xml:space="preserve">Consultas rutinarias en recepción</t>
  </si>
  <si>
    <t xml:space="preserve">consultas / día</t>
  </si>
  <si>
    <t xml:space="preserve">Dato de demostración — NO es un dato medido de N Club.</t>
  </si>
  <si>
    <t xml:space="preserve">Tiempo humano por consulta rutinaria</t>
  </si>
  <si>
    <t xml:space="preserve">Dato de demostración — medir en el piloto.</t>
  </si>
  <si>
    <t xml:space="preserve">Meta de reducción del tiempo humano en consultas rutinarias</t>
  </si>
  <si>
    <t xml:space="preserve">Meta inicial de la propuesta, pendiente de validación.</t>
  </si>
  <si>
    <t xml:space="preserve">Bloque A — Prototipo de hackathon</t>
  </si>
  <si>
    <t xml:space="preserve">El costo en caja es casi cero, pero el valor de referencia muestra lo que se usó. Los robots prestados no hacen gratis el despliegue.</t>
  </si>
  <si>
    <t xml:space="preserve">Entradas del prototipo</t>
  </si>
  <si>
    <t xml:space="preserve">Integrantes del equipo</t>
  </si>
  <si>
    <t xml:space="preserve">Equipo de 5 roles (2 Industrial, Informática, Diseño, Comunicación).</t>
  </si>
  <si>
    <t xml:space="preserve">Horas por integrante durante la hackathon</t>
  </si>
  <si>
    <t xml:space="preserve">Supuesto del equipo: ajustar a las horas reales trabajadas.</t>
  </si>
  <si>
    <t xml:space="preserve">Costo hora de referencia (USD)</t>
  </si>
  <si>
    <t xml:space="preserve">Derivado del costo mensual por persona (escenario Base) ÷ horas al mes ÷ TRM.</t>
  </si>
  <si>
    <t xml:space="preserve">Valor de referencia (USD)</t>
  </si>
  <si>
    <t xml:space="preserve">Costo en caja (USD)</t>
  </si>
  <si>
    <t xml:space="preserve">Humanoide AgiBot X2 (prestado por el evento)</t>
  </si>
  <si>
    <t xml:space="preserve">Valor del equipo prestado (precio Base).</t>
  </si>
  <si>
    <t xml:space="preserve">Cuadrúpedo AgiBot D1 (prestado por el evento)</t>
  </si>
  <si>
    <t xml:space="preserve">Horas del equipo</t>
  </si>
  <si>
    <t xml:space="preserve">Trabajo no remunerado del equipo, valorado a tarifa de referencia.</t>
  </si>
  <si>
    <t xml:space="preserve">Simulador MuJoCo</t>
  </si>
  <si>
    <t xml:space="preserve">Software de código abierto recomendado por el reto.</t>
  </si>
  <si>
    <t xml:space="preserve">Nube, base de datos y hosting</t>
  </si>
  <si>
    <t xml:space="preserve">Créditos estudiantiles (GitHub Student Pack, Azure for Students, etc.).</t>
  </si>
  <si>
    <t xml:space="preserve">Alimentación y espacio de trabajo</t>
  </si>
  <si>
    <t xml:space="preserve">Provistos por la organización del evento.</t>
  </si>
  <si>
    <t xml:space="preserve">Total prototipo</t>
  </si>
  <si>
    <t xml:space="preserve">Bloque B — Inversión inicial para llevar a producción en N Club (CAPEX, USD)</t>
  </si>
  <si>
    <t xml:space="preserve">Tipo</t>
  </si>
  <si>
    <t xml:space="preserve">Hardware robótico</t>
  </si>
  <si>
    <t xml:space="preserve">Humanoides AgiBot X2</t>
  </si>
  <si>
    <t xml:space="preserve">Por robot</t>
  </si>
  <si>
    <t xml:space="preserve">X2 en la flota × precio</t>
  </si>
  <si>
    <t xml:space="preserve">Cuadrúpedos AgiBot D1</t>
  </si>
  <si>
    <t xml:space="preserve">D1 en la flota × precio</t>
  </si>
  <si>
    <t xml:space="preserve">Baterías de repuesto</t>
  </si>
  <si>
    <t xml:space="preserve">X2 × baterías por X2 × precio</t>
  </si>
  <si>
    <t xml:space="preserve">Subtotal robots</t>
  </si>
  <si>
    <t xml:space="preserve">Suma</t>
  </si>
  <si>
    <t xml:space="preserve">robots × %</t>
  </si>
  <si>
    <t xml:space="preserve">IVA de importación</t>
  </si>
  <si>
    <t xml:space="preserve">(robots + flete) × IVA</t>
  </si>
  <si>
    <t xml:space="preserve">Servidor edge de IA</t>
  </si>
  <si>
    <t xml:space="preserve">Fijo</t>
  </si>
  <si>
    <t xml:space="preserve">costo único</t>
  </si>
  <si>
    <t xml:space="preserve">Software e integración</t>
  </si>
  <si>
    <t xml:space="preserve">Desarrollo e integración con sistemas del club</t>
  </si>
  <si>
    <t xml:space="preserve">personas × meses × costo mensual ÷ TRM</t>
  </si>
  <si>
    <t xml:space="preserve">Privacidad de datos biométricos</t>
  </si>
  <si>
    <t xml:space="preserve">COP ÷ TRM</t>
  </si>
  <si>
    <t xml:space="preserve">h/día × días × meses × costo hora ÷ TRM</t>
  </si>
  <si>
    <t xml:space="preserve">Subtotal inversión</t>
  </si>
  <si>
    <t xml:space="preserve">Suma de conceptos (sin duplicar el subtotal de robots)</t>
  </si>
  <si>
    <t xml:space="preserve">subtotal × % contingencia</t>
  </si>
  <si>
    <t xml:space="preserve">TOTAL INVERSIÓN INICIAL (USD)</t>
  </si>
  <si>
    <t xml:space="preserve">subtotal + contingencia</t>
  </si>
  <si>
    <t xml:space="preserve">Apoyos de cálculo (para el escalamiento de la flota)</t>
  </si>
  <si>
    <t xml:space="preserve">  Costo de cada X2 adicional</t>
  </si>
  <si>
    <t xml:space="preserve">(precio + baterías) × (1+flete) × (1+IVA) × (1+contingencia)</t>
  </si>
  <si>
    <t xml:space="preserve">  Costo de cada D1 adicional</t>
  </si>
  <si>
    <t xml:space="preserve">precio × (1+flete) × (1+IVA) × (1+contingencia)</t>
  </si>
  <si>
    <t xml:space="preserve">  Parte fija (no cambia con la flota)</t>
  </si>
  <si>
    <t xml:space="preserve">total − robots × costo por robot</t>
  </si>
  <si>
    <t xml:space="preserve">  Base de hardware para mantenimiento y seguro</t>
  </si>
  <si>
    <t xml:space="preserve">robots + servidor edge + red</t>
  </si>
  <si>
    <t xml:space="preserve">Bloque C — Operación anual (OPEX, USD por año)</t>
  </si>
  <si>
    <t xml:space="preserve">USD/mes × 12</t>
  </si>
  <si>
    <t xml:space="preserve">X2 × USD/mes × 12</t>
  </si>
  <si>
    <t xml:space="preserve">base de hardware × %</t>
  </si>
  <si>
    <t xml:space="preserve">FTE × costo mensual × 12 ÷ TRM</t>
  </si>
  <si>
    <t xml:space="preserve">Supervisión humana de excepciones</t>
  </si>
  <si>
    <t xml:space="preserve">h/día × días × 12 × costo hora ÷ TRM</t>
  </si>
  <si>
    <t xml:space="preserve">robots × USD/año</t>
  </si>
  <si>
    <t xml:space="preserve">Subtotal operación</t>
  </si>
  <si>
    <t xml:space="preserve">subtotal × %</t>
  </si>
  <si>
    <t xml:space="preserve">TOTAL OPERACIÓN ANUAL (USD/año)</t>
  </si>
  <si>
    <t xml:space="preserve">  Costo anual de cada X2 adicional</t>
  </si>
  <si>
    <t xml:space="preserve">(IA + mantenimiento + seguro + energía) × (1+contingencia)</t>
  </si>
  <si>
    <t xml:space="preserve">  Costo anual de cada D1 adicional</t>
  </si>
  <si>
    <t xml:space="preserve">(mantenimiento + seguro + energía) × (1+contingencia)</t>
  </si>
  <si>
    <t xml:space="preserve">Tiempo liberado para atención especial y excepciones. NO equivale a reducción de personal ni a ahorro financiero.</t>
  </si>
  <si>
    <t xml:space="preserve">Interacciones atendidas por Hugo y Dogo</t>
  </si>
  <si>
    <t xml:space="preserve">por mes</t>
  </si>
  <si>
    <t xml:space="preserve">consultas/día × días</t>
  </si>
  <si>
    <t xml:space="preserve">Horas humanas en consultas rutinarias (hoy)</t>
  </si>
  <si>
    <t xml:space="preserve">horas / mes</t>
  </si>
  <si>
    <t xml:space="preserve">interacciones × minutos ÷ 60</t>
  </si>
  <si>
    <t xml:space="preserve">Horas liberadas con la meta de reducción</t>
  </si>
  <si>
    <t xml:space="preserve">horas × % meta</t>
  </si>
  <si>
    <t xml:space="preserve">Valor del tiempo liberado</t>
  </si>
  <si>
    <t xml:space="preserve">horas × costo hora ÷ TRM</t>
  </si>
  <si>
    <t xml:space="preserve">Costo mensual de Hugo y Dogo (amortizado)</t>
  </si>
  <si>
    <t xml:space="preserve">inversión ÷ vida útil + operación ÷ 12</t>
  </si>
  <si>
    <t xml:space="preserve">Costo por interacción</t>
  </si>
  <si>
    <t xml:space="preserve">costo mensual ÷ interacciones</t>
  </si>
  <si>
    <t xml:space="preserve">Lectura: el valor del tiempo liberado no busca 'pagar' el robot; muestra cuánta capacidad de recepción queda disponible para atención especial. El caso de negocio se apoya en experiencia, coordinación y seguridad.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</si>
</sst>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\$#,##0.00;&quot;($&quot;#,##0.00\);\-"/>
    <numFmt numFmtId="167" formatCode="#,##0.0#;\(#,##0.0#\);\-"/>
    <numFmt numFmtId="168" formatCode="#,##0;\(#,##0\);\-"/>
    <numFmt numFmtId="169" formatCode="0.0%;\(0.0%\);\-"/>
    <numFmt numFmtId="170" formatCode="0.0"/>
    <numFmt numFmtId="171" formatCode="\$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i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26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6.85" hidden="false" customHeight="false" outlineLevel="0" collapsed="false">
      <c r="A15" s="2" t="s">
        <v>12</v>
      </c>
    </row>
    <row r="16" customFormat="false" ht="26.8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26.8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21</v>
      </c>
    </row>
    <row r="28" customFormat="false" ht="26.85" hidden="false" customHeight="false" outlineLevel="0" collapsed="false">
      <c r="A28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7" min="5" style="0" width="18"/>
  </cols>
  <sheetData>
    <row r="1" customFormat="false" ht="17.35" hidden="false" customHeight="false" outlineLevel="0" collapsed="false">
      <c r="A1" s="5" t="s">
        <v>23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24</v>
      </c>
      <c r="B2" s="6"/>
      <c r="C2" s="6"/>
      <c r="D2" s="6"/>
      <c r="E2" s="6"/>
      <c r="F2" s="6"/>
      <c r="G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</row>
    <row r="4" customFormat="false" ht="15" hidden="false" customHeight="true" outlineLevel="0" collapsed="false">
      <c r="A4" s="8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9" t="s">
        <v>30</v>
      </c>
      <c r="G4" s="9"/>
    </row>
    <row r="5" customFormat="false" ht="26.85" hidden="false" customHeight="true" outlineLevel="0" collapsed="false">
      <c r="A5" s="6" t="s">
        <v>31</v>
      </c>
      <c r="B5" s="6" t="s">
        <v>32</v>
      </c>
      <c r="C5" s="10" t="n">
        <f aca="false">A_Prototipo!$B$16</f>
        <v>36778.3980074342</v>
      </c>
      <c r="D5" s="10" t="n">
        <f aca="false">A_Prototipo!$B$16</f>
        <v>36778.3980074342</v>
      </c>
      <c r="E5" s="10" t="n">
        <f aca="false">A_Prototipo!$B$16</f>
        <v>36778.3980074342</v>
      </c>
      <c r="F5" s="11" t="s">
        <v>33</v>
      </c>
      <c r="G5" s="11"/>
    </row>
    <row r="6" customFormat="false" ht="26.85" hidden="false" customHeight="true" outlineLevel="0" collapsed="false">
      <c r="A6" s="12" t="s">
        <v>34</v>
      </c>
      <c r="B6" s="6" t="s">
        <v>32</v>
      </c>
      <c r="C6" s="13" t="n">
        <f aca="false">B_Inversion!C23</f>
        <v>70296.49412274</v>
      </c>
      <c r="D6" s="13" t="n">
        <f aca="false">B_Inversion!D23</f>
        <v>114880.75932523</v>
      </c>
      <c r="E6" s="13" t="n">
        <f aca="false">B_Inversion!E23</f>
        <v>222153.170623064</v>
      </c>
      <c r="F6" s="11" t="s">
        <v>35</v>
      </c>
      <c r="G6" s="11"/>
    </row>
    <row r="7" customFormat="false" ht="26.85" hidden="false" customHeight="true" outlineLevel="0" collapsed="false">
      <c r="A7" s="12" t="s">
        <v>36</v>
      </c>
      <c r="B7" s="6" t="s">
        <v>37</v>
      </c>
      <c r="C7" s="13" t="n">
        <f aca="false">C_Operacion!C14</f>
        <v>13302.8505340481</v>
      </c>
      <c r="D7" s="13" t="n">
        <f aca="false">C_Operacion!D14</f>
        <v>32587.8362339115</v>
      </c>
      <c r="E7" s="13" t="n">
        <f aca="false">C_Operacion!E14</f>
        <v>77002.6913187853</v>
      </c>
      <c r="F7" s="11" t="s">
        <v>38</v>
      </c>
      <c r="G7" s="11"/>
    </row>
    <row r="8" customFormat="false" ht="15" hidden="false" customHeight="true" outlineLevel="0" collapsed="false">
      <c r="A8" s="12" t="s">
        <v>39</v>
      </c>
      <c r="B8" s="6" t="s">
        <v>40</v>
      </c>
      <c r="C8" s="13" t="n">
        <f aca="false">B_Inversion!C23/Supuestos!$C$9+C_Operacion!C14/12</f>
        <v>3061.25127013568</v>
      </c>
      <c r="D8" s="13" t="n">
        <f aca="false">B_Inversion!D23/Supuestos!$D$9+C_Operacion!D14/12</f>
        <v>5906.78522297124</v>
      </c>
      <c r="E8" s="13" t="n">
        <f aca="false">B_Inversion!E23/Supuestos!$E$9+C_Operacion!E14/12</f>
        <v>12587.8123494283</v>
      </c>
      <c r="F8" s="11" t="s">
        <v>41</v>
      </c>
      <c r="G8" s="11"/>
    </row>
    <row r="9" customFormat="false" ht="15" hidden="false" customHeight="true" outlineLevel="0" collapsed="false">
      <c r="A9" s="6" t="s">
        <v>42</v>
      </c>
      <c r="B9" s="6" t="s">
        <v>32</v>
      </c>
      <c r="C9" s="10" t="n">
        <f aca="false">B_Inversion!C23+3*C_Operacion!C14</f>
        <v>110205.045724884</v>
      </c>
      <c r="D9" s="10" t="n">
        <f aca="false">B_Inversion!D23+3*C_Operacion!D14</f>
        <v>212644.268026965</v>
      </c>
      <c r="E9" s="10" t="n">
        <f aca="false">B_Inversion!E23+3*C_Operacion!E14</f>
        <v>453161.244579419</v>
      </c>
      <c r="F9" s="11" t="s">
        <v>43</v>
      </c>
      <c r="G9" s="11"/>
    </row>
    <row r="10" customFormat="false" ht="39.55" hidden="false" customHeight="true" outlineLevel="0" collapsed="false">
      <c r="A10" s="6" t="s">
        <v>44</v>
      </c>
      <c r="B10" s="6" t="s">
        <v>40</v>
      </c>
      <c r="C10" s="14" t="n">
        <f aca="false">C8*(1+Supuestos!$C$45)</f>
        <v>3673.50152416281</v>
      </c>
      <c r="D10" s="14" t="n">
        <f aca="false">D8*(1+Supuestos!$D$45)</f>
        <v>7383.48152871405</v>
      </c>
      <c r="E10" s="14" t="n">
        <f aca="false">E8*(1+Supuestos!$E$45)</f>
        <v>16364.1560542568</v>
      </c>
      <c r="F10" s="11" t="s">
        <v>45</v>
      </c>
      <c r="G10" s="11"/>
    </row>
    <row r="11" customFormat="false" ht="15" hidden="false" customHeight="true" outlineLevel="0" collapsed="false">
      <c r="A11" s="6" t="s">
        <v>46</v>
      </c>
      <c r="B11" s="6" t="s">
        <v>32</v>
      </c>
      <c r="C11" s="15" t="n">
        <f aca="false">Valor_Impacto!C10</f>
        <v>1.47175541833446</v>
      </c>
      <c r="D11" s="15" t="n">
        <f aca="false">Valor_Impacto!D10</f>
        <v>1.89320039197796</v>
      </c>
      <c r="E11" s="15" t="n">
        <f aca="false">Valor_Impacto!E10</f>
        <v>2.6224609061309</v>
      </c>
      <c r="F11" s="11" t="s">
        <v>47</v>
      </c>
      <c r="G11" s="11"/>
    </row>
    <row r="12" customFormat="false" ht="15" hidden="false" customHeight="false" outlineLevel="0" collapsed="false">
      <c r="A12" s="16" t="s">
        <v>48</v>
      </c>
      <c r="B12" s="17"/>
      <c r="C12" s="17"/>
      <c r="D12" s="17"/>
      <c r="E12" s="17"/>
      <c r="F12" s="17"/>
      <c r="G12" s="17"/>
    </row>
    <row r="13" customFormat="false" ht="15" hidden="false" customHeight="true" outlineLevel="0" collapsed="false">
      <c r="A13" s="6" t="s">
        <v>34</v>
      </c>
      <c r="B13" s="6" t="s">
        <v>49</v>
      </c>
      <c r="C13" s="18" t="n">
        <f aca="false">C6*Supuestos!$C$6/1000000</f>
        <v>222.40123624576</v>
      </c>
      <c r="D13" s="18" t="n">
        <f aca="false">D6*Supuestos!$D$6/1000000</f>
        <v>363.45515112279</v>
      </c>
      <c r="E13" s="18" t="n">
        <f aca="false">E6*Supuestos!$E$6/1000000</f>
        <v>702.839315090424</v>
      </c>
      <c r="F13" s="11" t="s">
        <v>50</v>
      </c>
      <c r="G13" s="11"/>
    </row>
    <row r="14" customFormat="false" ht="15" hidden="false" customHeight="false" outlineLevel="0" collapsed="false">
      <c r="A14" s="6" t="s">
        <v>36</v>
      </c>
      <c r="B14" s="6" t="s">
        <v>51</v>
      </c>
      <c r="C14" s="18" t="n">
        <f aca="false">C7*Supuestos!$C$6/1000000</f>
        <v>42.0870264056</v>
      </c>
      <c r="D14" s="18" t="n">
        <f aca="false">D7*Supuestos!$D$6/1000000</f>
        <v>103.1000927634</v>
      </c>
      <c r="E14" s="18" t="n">
        <f aca="false">E7*Supuestos!$E$6/1000000</f>
        <v>243.61803468672</v>
      </c>
      <c r="F14" s="11"/>
      <c r="G14" s="11"/>
    </row>
    <row r="15" customFormat="false" ht="15" hidden="false" customHeight="false" outlineLevel="0" collapsed="false">
      <c r="A15" s="6" t="s">
        <v>39</v>
      </c>
      <c r="B15" s="6" t="s">
        <v>52</v>
      </c>
      <c r="C15" s="18" t="n">
        <f aca="false">C8*Supuestos!$C$6/1000000</f>
        <v>9.68506431840445</v>
      </c>
      <c r="D15" s="18" t="n">
        <f aca="false">D8*Supuestos!$D$6/1000000</f>
        <v>18.6876508170275</v>
      </c>
      <c r="E15" s="18" t="n">
        <f aca="false">E8*Supuestos!$E$6/1000000</f>
        <v>39.8248171986273</v>
      </c>
      <c r="F15" s="11"/>
      <c r="G15" s="11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</row>
    <row r="17" customFormat="false" ht="15" hidden="false" customHeight="false" outlineLevel="0" collapsed="false">
      <c r="A17" s="19" t="s">
        <v>53</v>
      </c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7" t="s">
        <v>54</v>
      </c>
      <c r="B18" s="6"/>
      <c r="C18" s="6"/>
      <c r="D18" s="6"/>
      <c r="E18" s="6"/>
      <c r="F18" s="6"/>
      <c r="G18" s="6"/>
    </row>
    <row r="19" customFormat="false" ht="26.85" hidden="false" customHeight="false" outlineLevel="0" collapsed="false">
      <c r="A19" s="8" t="s">
        <v>55</v>
      </c>
      <c r="B19" s="8" t="s">
        <v>56</v>
      </c>
      <c r="C19" s="8" t="s">
        <v>57</v>
      </c>
      <c r="D19" s="8" t="s">
        <v>58</v>
      </c>
      <c r="E19" s="8" t="s">
        <v>59</v>
      </c>
      <c r="F19" s="8" t="s">
        <v>60</v>
      </c>
      <c r="G19" s="8" t="s">
        <v>61</v>
      </c>
    </row>
    <row r="20" customFormat="false" ht="30" hidden="false" customHeight="true" outlineLevel="0" collapsed="false">
      <c r="A20" s="20" t="s">
        <v>62</v>
      </c>
      <c r="B20" s="21" t="n">
        <v>1</v>
      </c>
      <c r="C20" s="21" t="n">
        <v>1</v>
      </c>
      <c r="D20" s="10" t="n">
        <f aca="false">B_Inversion!$D$28+B20*B_Inversion!$D$26+C20*B_Inversion!$D$27</f>
        <v>114880.75932523</v>
      </c>
      <c r="E20" s="10" t="n">
        <f aca="false">C_Operacion!$D$19+B20*C_Operacion!$D$17+C20*C_Operacion!$D$18</f>
        <v>32587.8362339115</v>
      </c>
      <c r="F20" s="14" t="n">
        <f aca="false">D20/Supuestos!$D$9+E20/12</f>
        <v>5906.78522297124</v>
      </c>
      <c r="G20" s="14" t="n">
        <f aca="false">D20+3*E20</f>
        <v>212644.268026965</v>
      </c>
    </row>
    <row r="21" customFormat="false" ht="30" hidden="false" customHeight="true" outlineLevel="0" collapsed="false">
      <c r="A21" s="20" t="s">
        <v>63</v>
      </c>
      <c r="B21" s="21" t="n">
        <v>1</v>
      </c>
      <c r="C21" s="21" t="n">
        <v>2</v>
      </c>
      <c r="D21" s="10" t="n">
        <f aca="false">B_Inversion!$D$28+B21*B_Inversion!$D$26+C21*B_Inversion!$D$27</f>
        <v>125482.18670023</v>
      </c>
      <c r="E21" s="10" t="n">
        <f aca="false">C_Operacion!$D$19+B21*C_Operacion!$D$17+C21*C_Operacion!$D$18</f>
        <v>33834.1787339115</v>
      </c>
      <c r="F21" s="14" t="n">
        <f aca="false">D21/Supuestos!$D$9+E21/12</f>
        <v>6305.13119172124</v>
      </c>
      <c r="G21" s="14" t="n">
        <f aca="false">D21+3*E21</f>
        <v>226984.722901965</v>
      </c>
    </row>
    <row r="22" customFormat="false" ht="30" hidden="false" customHeight="true" outlineLevel="0" collapsed="false">
      <c r="A22" s="20" t="s">
        <v>64</v>
      </c>
      <c r="B22" s="21" t="n">
        <v>2</v>
      </c>
      <c r="C22" s="21" t="n">
        <v>2</v>
      </c>
      <c r="D22" s="10" t="n">
        <f aca="false">B_Inversion!$D$28+B22*B_Inversion!$D$26+C22*B_Inversion!$D$27</f>
        <v>168921.67895023</v>
      </c>
      <c r="E22" s="10" t="n">
        <f aca="false">C_Operacion!$D$19+B22*C_Operacion!$D$17+C22*C_Operacion!$D$18</f>
        <v>40617.6137339115</v>
      </c>
      <c r="F22" s="14" t="n">
        <f aca="false">D22/Supuestos!$D$9+E22/12</f>
        <v>8077.07000422124</v>
      </c>
      <c r="G22" s="14" t="n">
        <f aca="false">D22+3*E22</f>
        <v>290774.520151965</v>
      </c>
    </row>
    <row r="23" customFormat="false" ht="30" hidden="false" customHeight="true" outlineLevel="0" collapsed="false">
      <c r="A23" s="20" t="s">
        <v>65</v>
      </c>
      <c r="B23" s="21" t="n">
        <v>2</v>
      </c>
      <c r="C23" s="21" t="n">
        <v>3</v>
      </c>
      <c r="D23" s="10" t="n">
        <f aca="false">B_Inversion!$D$28+B23*B_Inversion!$D$26+C23*B_Inversion!$D$27</f>
        <v>179523.10632523</v>
      </c>
      <c r="E23" s="10" t="n">
        <f aca="false">C_Operacion!$D$19+B23*C_Operacion!$D$17+C23*C_Operacion!$D$18</f>
        <v>41863.9562339115</v>
      </c>
      <c r="F23" s="14" t="n">
        <f aca="false">D23/Supuestos!$D$9+E23/12</f>
        <v>8475.41597297124</v>
      </c>
      <c r="G23" s="14" t="n">
        <f aca="false">D23+3*E23</f>
        <v>305114.975026965</v>
      </c>
    </row>
    <row r="24" customFormat="false" ht="30" hidden="false" customHeight="true" outlineLevel="0" collapsed="false">
      <c r="A24" s="22" t="s">
        <v>66</v>
      </c>
      <c r="B24" s="22"/>
      <c r="C24" s="22"/>
      <c r="D24" s="22"/>
      <c r="E24" s="22"/>
      <c r="F24" s="22"/>
      <c r="G24" s="22"/>
    </row>
  </sheetData>
  <mergeCells count="12">
    <mergeCell ref="F4:G4"/>
    <mergeCell ref="F5:G5"/>
    <mergeCell ref="F6:G6"/>
    <mergeCell ref="F7:G7"/>
    <mergeCell ref="F8:G8"/>
    <mergeCell ref="F9:G9"/>
    <mergeCell ref="F10:G10"/>
    <mergeCell ref="F11:G11"/>
    <mergeCell ref="F13:G13"/>
    <mergeCell ref="F14:G14"/>
    <mergeCell ref="F15:G15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5" min="3" style="0" width="17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5" t="s">
        <v>67</v>
      </c>
      <c r="B1" s="6"/>
      <c r="C1" s="6"/>
      <c r="D1" s="6"/>
      <c r="E1" s="6"/>
      <c r="F1" s="6"/>
    </row>
    <row r="2" customFormat="false" ht="30" hidden="false" customHeight="true" outlineLevel="0" collapsed="false">
      <c r="A2" s="23" t="s">
        <v>68</v>
      </c>
      <c r="B2" s="23"/>
      <c r="C2" s="23"/>
      <c r="D2" s="23"/>
      <c r="E2" s="23"/>
      <c r="F2" s="23"/>
    </row>
    <row r="3" customFormat="false" ht="15" hidden="false" customHeight="false" outlineLevel="0" collapsed="false">
      <c r="A3" s="6"/>
      <c r="B3" s="6"/>
      <c r="C3" s="6"/>
      <c r="D3" s="6"/>
      <c r="E3" s="6"/>
      <c r="F3" s="6"/>
    </row>
    <row r="4" customFormat="false" ht="15" hidden="false" customHeight="false" outlineLevel="0" collapsed="false">
      <c r="A4" s="16" t="s">
        <v>69</v>
      </c>
      <c r="B4" s="17"/>
      <c r="C4" s="17"/>
      <c r="D4" s="17"/>
      <c r="E4" s="17"/>
      <c r="F4" s="17"/>
    </row>
    <row r="5" customFormat="false" ht="15" hidden="false" customHeight="false" outlineLevel="0" collapsed="false">
      <c r="A5" s="6" t="s">
        <v>70</v>
      </c>
      <c r="B5" s="6" t="s">
        <v>32</v>
      </c>
      <c r="C5" s="10" t="n">
        <f aca="false">B_Inversion!$D$23</f>
        <v>114880.75932523</v>
      </c>
      <c r="D5" s="6"/>
      <c r="E5" s="6"/>
      <c r="F5" s="6"/>
    </row>
    <row r="6" customFormat="false" ht="15" hidden="false" customHeight="false" outlineLevel="0" collapsed="false">
      <c r="A6" s="6" t="s">
        <v>71</v>
      </c>
      <c r="B6" s="6" t="s">
        <v>37</v>
      </c>
      <c r="C6" s="10" t="n">
        <f aca="false">C_Operacion!$D$14</f>
        <v>32587.8362339115</v>
      </c>
      <c r="D6" s="6"/>
      <c r="E6" s="6"/>
      <c r="F6" s="6"/>
    </row>
    <row r="7" customFormat="false" ht="15" hidden="false" customHeight="false" outlineLevel="0" collapsed="false">
      <c r="A7" s="6" t="s">
        <v>72</v>
      </c>
      <c r="B7" s="6" t="s">
        <v>40</v>
      </c>
      <c r="C7" s="10" t="n">
        <f aca="false">C_Operacion!$D$14/12</f>
        <v>2715.65301949263</v>
      </c>
      <c r="D7" s="6"/>
      <c r="E7" s="6"/>
      <c r="F7" s="6"/>
    </row>
    <row r="8" customFormat="false" ht="15" hidden="false" customHeight="false" outlineLevel="0" collapsed="false">
      <c r="A8" s="6" t="s">
        <v>73</v>
      </c>
      <c r="B8" s="6" t="s">
        <v>32</v>
      </c>
      <c r="C8" s="14" t="n">
        <f aca="false">B_Inversion!$D$23+3*C_Operacion!$D$14</f>
        <v>212644.268026965</v>
      </c>
      <c r="D8" s="6"/>
      <c r="E8" s="6"/>
      <c r="F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</row>
    <row r="10" customFormat="false" ht="15" hidden="false" customHeight="false" outlineLevel="0" collapsed="false">
      <c r="A10" s="16" t="s">
        <v>74</v>
      </c>
      <c r="B10" s="17"/>
      <c r="C10" s="17"/>
      <c r="D10" s="17"/>
      <c r="E10" s="17"/>
      <c r="F10" s="17"/>
    </row>
    <row r="11" customFormat="false" ht="39.55" hidden="false" customHeight="false" outlineLevel="0" collapsed="false">
      <c r="A11" s="8" t="s">
        <v>75</v>
      </c>
      <c r="B11" s="8" t="s">
        <v>76</v>
      </c>
      <c r="C11" s="8" t="s">
        <v>77</v>
      </c>
      <c r="D11" s="8" t="s">
        <v>78</v>
      </c>
      <c r="E11" s="8"/>
      <c r="F11" s="8" t="s">
        <v>79</v>
      </c>
    </row>
    <row r="12" customFormat="false" ht="15" hidden="false" customHeight="false" outlineLevel="0" collapsed="false">
      <c r="A12" s="6" t="s">
        <v>80</v>
      </c>
      <c r="B12" s="24" t="n">
        <v>24</v>
      </c>
      <c r="C12" s="25" t="n">
        <f aca="false">C5/B12+C7</f>
        <v>7502.35132471055</v>
      </c>
      <c r="D12" s="26" t="n">
        <f aca="false">C12*Supuestos!$D$6/1000000</f>
        <v>23.7356390270663</v>
      </c>
      <c r="E12" s="6"/>
      <c r="F12" s="6" t="s">
        <v>81</v>
      </c>
    </row>
    <row r="13" customFormat="false" ht="15" hidden="false" customHeight="false" outlineLevel="0" collapsed="false">
      <c r="A13" s="6" t="s">
        <v>82</v>
      </c>
      <c r="B13" s="24" t="n">
        <v>36</v>
      </c>
      <c r="C13" s="25" t="n">
        <f aca="false">C5/B13+C7</f>
        <v>5906.78522297124</v>
      </c>
      <c r="D13" s="26" t="n">
        <f aca="false">C13*Supuestos!$D$6/1000000</f>
        <v>18.6876508170275</v>
      </c>
      <c r="E13" s="6"/>
      <c r="F13" s="6" t="s">
        <v>81</v>
      </c>
    </row>
    <row r="14" customFormat="false" ht="15" hidden="false" customHeight="false" outlineLevel="0" collapsed="false">
      <c r="A14" s="6" t="s">
        <v>83</v>
      </c>
      <c r="B14" s="24" t="n">
        <v>48</v>
      </c>
      <c r="C14" s="25" t="n">
        <f aca="false">C5/B14+C7</f>
        <v>5109.00217210159</v>
      </c>
      <c r="D14" s="26" t="n">
        <f aca="false">C14*Supuestos!$D$6/1000000</f>
        <v>16.1636567120081</v>
      </c>
      <c r="E14" s="6"/>
      <c r="F14" s="6" t="s">
        <v>81</v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</row>
    <row r="16" customFormat="false" ht="15" hidden="false" customHeight="false" outlineLevel="0" collapsed="false">
      <c r="A16" s="16" t="s">
        <v>84</v>
      </c>
      <c r="B16" s="17"/>
      <c r="C16" s="17"/>
      <c r="D16" s="17"/>
      <c r="E16" s="17"/>
      <c r="F16" s="17"/>
    </row>
    <row r="17" customFormat="false" ht="15" hidden="false" customHeight="false" outlineLevel="0" collapsed="false">
      <c r="A17" s="8" t="s">
        <v>85</v>
      </c>
      <c r="B17" s="8" t="s">
        <v>26</v>
      </c>
      <c r="C17" s="8" t="s">
        <v>86</v>
      </c>
      <c r="D17" s="8" t="s">
        <v>28</v>
      </c>
      <c r="E17" s="8" t="s">
        <v>87</v>
      </c>
      <c r="F17" s="8" t="s">
        <v>30</v>
      </c>
    </row>
    <row r="18" customFormat="false" ht="15" hidden="false" customHeight="false" outlineLevel="0" collapsed="false">
      <c r="A18" s="27" t="s">
        <v>88</v>
      </c>
      <c r="B18" s="6"/>
      <c r="C18" s="6"/>
      <c r="D18" s="6"/>
      <c r="E18" s="6"/>
      <c r="F18" s="6"/>
    </row>
    <row r="19" customFormat="false" ht="26.85" hidden="false" customHeight="false" outlineLevel="0" collapsed="false">
      <c r="A19" s="6" t="s">
        <v>89</v>
      </c>
      <c r="B19" s="6" t="s">
        <v>90</v>
      </c>
      <c r="C19" s="28" t="n">
        <v>2</v>
      </c>
      <c r="D19" s="28" t="n">
        <v>4</v>
      </c>
      <c r="E19" s="28" t="n">
        <v>6</v>
      </c>
      <c r="F19" s="29" t="s">
        <v>91</v>
      </c>
    </row>
    <row r="20" customFormat="false" ht="15" hidden="false" customHeight="false" outlineLevel="0" collapsed="false">
      <c r="A20" s="6" t="s">
        <v>92</v>
      </c>
      <c r="B20" s="6" t="s">
        <v>93</v>
      </c>
      <c r="C20" s="30" t="n">
        <v>120000</v>
      </c>
      <c r="D20" s="30" t="n">
        <v>150000</v>
      </c>
      <c r="E20" s="30" t="n">
        <v>200000</v>
      </c>
      <c r="F20" s="29" t="s">
        <v>94</v>
      </c>
    </row>
    <row r="21" customFormat="false" ht="15" hidden="false" customHeight="false" outlineLevel="0" collapsed="false">
      <c r="A21" s="6" t="s">
        <v>95</v>
      </c>
      <c r="B21" s="6" t="s">
        <v>96</v>
      </c>
      <c r="C21" s="31" t="n">
        <v>0.3</v>
      </c>
      <c r="D21" s="31" t="n">
        <v>0.35</v>
      </c>
      <c r="E21" s="31" t="n">
        <v>0.4</v>
      </c>
      <c r="F21" s="29" t="s">
        <v>94</v>
      </c>
    </row>
    <row r="22" customFormat="false" ht="15" hidden="false" customHeight="false" outlineLevel="0" collapsed="false">
      <c r="A22" s="27" t="s">
        <v>97</v>
      </c>
      <c r="B22" s="6"/>
      <c r="C22" s="6"/>
      <c r="D22" s="6"/>
      <c r="E22" s="6"/>
      <c r="F22" s="6"/>
    </row>
    <row r="23" customFormat="false" ht="15" hidden="false" customHeight="false" outlineLevel="0" collapsed="false">
      <c r="A23" s="6" t="s">
        <v>98</v>
      </c>
      <c r="B23" s="6" t="s">
        <v>99</v>
      </c>
      <c r="C23" s="28" t="n">
        <v>1</v>
      </c>
      <c r="D23" s="28" t="n">
        <v>2</v>
      </c>
      <c r="E23" s="28" t="n">
        <v>3</v>
      </c>
      <c r="F23" s="29" t="s">
        <v>94</v>
      </c>
    </row>
    <row r="24" customFormat="false" ht="26.85" hidden="false" customHeight="false" outlineLevel="0" collapsed="false">
      <c r="A24" s="6" t="s">
        <v>100</v>
      </c>
      <c r="B24" s="6" t="s">
        <v>101</v>
      </c>
      <c r="C24" s="30" t="n">
        <v>1500000</v>
      </c>
      <c r="D24" s="30" t="n">
        <v>2000000</v>
      </c>
      <c r="E24" s="30" t="n">
        <v>2500000</v>
      </c>
      <c r="F24" s="29" t="s">
        <v>102</v>
      </c>
    </row>
    <row r="25" customFormat="false" ht="15" hidden="false" customHeight="false" outlineLevel="0" collapsed="false">
      <c r="A25" s="27" t="s">
        <v>103</v>
      </c>
      <c r="B25" s="6"/>
      <c r="C25" s="6"/>
      <c r="D25" s="6"/>
      <c r="E25" s="6"/>
      <c r="F25" s="6"/>
    </row>
    <row r="26" customFormat="false" ht="15" hidden="false" customHeight="false" outlineLevel="0" collapsed="false">
      <c r="A26" s="6" t="s">
        <v>104</v>
      </c>
      <c r="B26" s="6" t="s">
        <v>105</v>
      </c>
      <c r="C26" s="30" t="n">
        <v>30</v>
      </c>
      <c r="D26" s="30" t="n">
        <v>40</v>
      </c>
      <c r="E26" s="30" t="n">
        <v>50</v>
      </c>
      <c r="F26" s="29" t="s">
        <v>94</v>
      </c>
    </row>
    <row r="27" customFormat="false" ht="26.85" hidden="false" customHeight="false" outlineLevel="0" collapsed="false">
      <c r="A27" s="6" t="s">
        <v>106</v>
      </c>
      <c r="B27" s="6" t="s">
        <v>107</v>
      </c>
      <c r="C27" s="28" t="n">
        <v>2</v>
      </c>
      <c r="D27" s="28" t="n">
        <v>3</v>
      </c>
      <c r="E27" s="28" t="n">
        <v>4</v>
      </c>
      <c r="F27" s="29" t="s">
        <v>108</v>
      </c>
    </row>
    <row r="28" customFormat="false" ht="15" hidden="false" customHeight="false" outlineLevel="0" collapsed="false">
      <c r="A28" s="6" t="s">
        <v>109</v>
      </c>
      <c r="B28" s="6" t="s">
        <v>101</v>
      </c>
      <c r="C28" s="30" t="n">
        <v>2500000</v>
      </c>
      <c r="D28" s="30" t="n">
        <v>3000000</v>
      </c>
      <c r="E28" s="30" t="n">
        <v>3500000</v>
      </c>
      <c r="F28" s="29" t="s">
        <v>94</v>
      </c>
    </row>
    <row r="29" customFormat="false" ht="15" hidden="false" customHeight="false" outlineLevel="0" collapsed="false">
      <c r="A29" s="27" t="s">
        <v>110</v>
      </c>
      <c r="B29" s="6"/>
      <c r="C29" s="6"/>
      <c r="D29" s="6"/>
      <c r="E29" s="6"/>
      <c r="F29" s="6"/>
    </row>
    <row r="30" customFormat="false" ht="15" hidden="false" customHeight="false" outlineLevel="0" collapsed="false">
      <c r="A30" s="6" t="s">
        <v>111</v>
      </c>
      <c r="B30" s="6" t="s">
        <v>112</v>
      </c>
      <c r="C30" s="30" t="n">
        <v>3</v>
      </c>
      <c r="D30" s="30" t="n">
        <v>6</v>
      </c>
      <c r="E30" s="30" t="n">
        <v>9</v>
      </c>
      <c r="F30" s="29" t="s">
        <v>94</v>
      </c>
    </row>
    <row r="31" customFormat="false" ht="15" hidden="false" customHeight="false" outlineLevel="0" collapsed="false">
      <c r="A31" s="6" t="s">
        <v>113</v>
      </c>
      <c r="B31" s="6" t="s">
        <v>114</v>
      </c>
      <c r="C31" s="28" t="n">
        <v>10</v>
      </c>
      <c r="D31" s="28" t="n">
        <v>15</v>
      </c>
      <c r="E31" s="28" t="n">
        <v>20</v>
      </c>
      <c r="F31" s="29" t="s">
        <v>94</v>
      </c>
    </row>
    <row r="32" customFormat="false" ht="15" hidden="false" customHeight="false" outlineLevel="0" collapsed="false">
      <c r="A32" s="27" t="s">
        <v>115</v>
      </c>
      <c r="B32" s="6"/>
      <c r="C32" s="6"/>
      <c r="D32" s="6"/>
      <c r="E32" s="6"/>
      <c r="F32" s="6"/>
    </row>
    <row r="33" customFormat="false" ht="26.85" hidden="false" customHeight="false" outlineLevel="0" collapsed="false">
      <c r="A33" s="6" t="s">
        <v>116</v>
      </c>
      <c r="B33" s="6" t="s">
        <v>96</v>
      </c>
      <c r="C33" s="31" t="n">
        <v>0.12</v>
      </c>
      <c r="D33" s="31" t="n">
        <v>0.12</v>
      </c>
      <c r="E33" s="31" t="n">
        <v>0.12</v>
      </c>
      <c r="F33" s="29" t="s">
        <v>117</v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</row>
    <row r="35" customFormat="false" ht="15" hidden="false" customHeight="false" outlineLevel="0" collapsed="false">
      <c r="A35" s="8" t="s">
        <v>118</v>
      </c>
      <c r="B35" s="8" t="s">
        <v>26</v>
      </c>
      <c r="C35" s="8" t="s">
        <v>86</v>
      </c>
      <c r="D35" s="8" t="s">
        <v>28</v>
      </c>
      <c r="E35" s="8" t="s">
        <v>87</v>
      </c>
      <c r="F35" s="8" t="s">
        <v>79</v>
      </c>
    </row>
    <row r="36" customFormat="false" ht="15" hidden="false" customHeight="false" outlineLevel="0" collapsed="false">
      <c r="A36" s="6" t="s">
        <v>119</v>
      </c>
      <c r="B36" s="6" t="s">
        <v>40</v>
      </c>
      <c r="C36" s="14" t="n">
        <f aca="false">C19*Supuestos!$D$34*C20*C21/Supuestos!$D$6</f>
        <v>591.701013983362</v>
      </c>
      <c r="D36" s="14" t="n">
        <f aca="false">D19*Supuestos!$D$34*D20*D21/Supuestos!$D$6</f>
        <v>1725.79462411814</v>
      </c>
      <c r="E36" s="14" t="n">
        <f aca="false">E19*Supuestos!$D$34*E20*E21/Supuestos!$D$6</f>
        <v>3944.67342655574</v>
      </c>
      <c r="F36" s="6" t="s">
        <v>120</v>
      </c>
    </row>
    <row r="37" customFormat="false" ht="15" hidden="false" customHeight="false" outlineLevel="0" collapsed="false">
      <c r="A37" s="6" t="s">
        <v>121</v>
      </c>
      <c r="B37" s="6" t="s">
        <v>40</v>
      </c>
      <c r="C37" s="14" t="n">
        <f aca="false">C23*C24/Supuestos!$D$6</f>
        <v>474.119402230258</v>
      </c>
      <c r="D37" s="14" t="n">
        <f aca="false">D23*D24/Supuestos!$D$6</f>
        <v>1264.31840594735</v>
      </c>
      <c r="E37" s="14" t="n">
        <f aca="false">E23*E24/Supuestos!$D$6</f>
        <v>2370.59701115129</v>
      </c>
      <c r="F37" s="6" t="s">
        <v>122</v>
      </c>
    </row>
    <row r="38" customFormat="false" ht="15" hidden="false" customHeight="false" outlineLevel="0" collapsed="false">
      <c r="A38" s="6" t="s">
        <v>123</v>
      </c>
      <c r="B38" s="6" t="s">
        <v>40</v>
      </c>
      <c r="C38" s="10" t="n">
        <f aca="false">Valor_Impacto!C8</f>
        <v>102.725870483222</v>
      </c>
      <c r="D38" s="10" t="n">
        <f aca="false">Valor_Impacto!D8</f>
        <v>269.655410018459</v>
      </c>
      <c r="E38" s="10" t="n">
        <f aca="false">Valor_Impacto!E8</f>
        <v>632.159202973677</v>
      </c>
      <c r="F38" s="6" t="s">
        <v>124</v>
      </c>
    </row>
    <row r="39" customFormat="false" ht="15" hidden="false" customHeight="false" outlineLevel="0" collapsed="false">
      <c r="A39" s="6" t="s">
        <v>103</v>
      </c>
      <c r="B39" s="6" t="s">
        <v>40</v>
      </c>
      <c r="C39" s="14" t="n">
        <f aca="false">C26*C27/60*Supuestos!$D$34*C28/Supuestos!$D$33/Supuestos!$D$6</f>
        <v>107.00611508669</v>
      </c>
      <c r="D39" s="14" t="n">
        <f aca="false">D26*D27/60*Supuestos!$D$34*D28/Supuestos!$D$33/Supuestos!$D$6</f>
        <v>256.814676208056</v>
      </c>
      <c r="E39" s="14" t="n">
        <f aca="false">E26*E27/60*Supuestos!$D$34*E28/Supuestos!$D$33/Supuestos!$D$6</f>
        <v>499.361870404554</v>
      </c>
      <c r="F39" s="6" t="s">
        <v>125</v>
      </c>
    </row>
    <row r="40" customFormat="false" ht="15" hidden="false" customHeight="false" outlineLevel="0" collapsed="false">
      <c r="A40" s="6" t="s">
        <v>126</v>
      </c>
      <c r="B40" s="6" t="s">
        <v>40</v>
      </c>
      <c r="C40" s="14" t="n">
        <f aca="false">C30*C31/60*Supuestos!$D$34*Supuestos!$D$32/Supuestos!$D$33/Supuestos!$D$6</f>
        <v>74.9042805606831</v>
      </c>
      <c r="D40" s="14" t="n">
        <f aca="false">D30*D31/60*Supuestos!$D$34*Supuestos!$D$32/Supuestos!$D$33/Supuestos!$D$6</f>
        <v>224.712841682049</v>
      </c>
      <c r="E40" s="14" t="n">
        <f aca="false">E30*E31/60*Supuestos!$D$34*Supuestos!$D$32/Supuestos!$D$33/Supuestos!$D$6</f>
        <v>449.425683364098</v>
      </c>
      <c r="F40" s="6" t="s">
        <v>127</v>
      </c>
    </row>
    <row r="41" customFormat="false" ht="15" hidden="false" customHeight="false" outlineLevel="0" collapsed="false">
      <c r="A41" s="32" t="s">
        <v>128</v>
      </c>
      <c r="B41" s="32" t="s">
        <v>40</v>
      </c>
      <c r="C41" s="33" t="n">
        <f aca="false">SUM(C36:C40)</f>
        <v>1350.45668234421</v>
      </c>
      <c r="D41" s="33" t="n">
        <f aca="false">SUM(D36:D40)</f>
        <v>3741.29595797406</v>
      </c>
      <c r="E41" s="33" t="n">
        <f aca="false">SUM(E36:E40)</f>
        <v>7896.21719444936</v>
      </c>
      <c r="F41" s="32"/>
    </row>
    <row r="42" customFormat="false" ht="15" hidden="false" customHeight="false" outlineLevel="0" collapsed="false">
      <c r="A42" s="6" t="s">
        <v>129</v>
      </c>
      <c r="B42" s="6" t="s">
        <v>96</v>
      </c>
      <c r="C42" s="34" t="n">
        <f aca="false">IF($C$13=0,0,C41/$C$13)</f>
        <v>0.228628032231872</v>
      </c>
      <c r="D42" s="34" t="n">
        <f aca="false">IF($C$13=0,0,D41/$C$13)</f>
        <v>0.633389537074128</v>
      </c>
      <c r="E42" s="34" t="n">
        <f aca="false">IF($C$13=0,0,E41/$C$13)</f>
        <v>1.33680452164424</v>
      </c>
      <c r="F42" s="6" t="s">
        <v>130</v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</row>
    <row r="44" customFormat="false" ht="15" hidden="false" customHeight="false" outlineLevel="0" collapsed="false">
      <c r="A44" s="16" t="s">
        <v>131</v>
      </c>
      <c r="B44" s="17"/>
      <c r="C44" s="17"/>
      <c r="D44" s="17"/>
      <c r="E44" s="17"/>
      <c r="F44" s="17"/>
    </row>
    <row r="45" customFormat="false" ht="15" hidden="false" customHeight="false" outlineLevel="0" collapsed="false">
      <c r="A45" s="8" t="s">
        <v>132</v>
      </c>
      <c r="B45" s="8"/>
      <c r="C45" s="8" t="s">
        <v>86</v>
      </c>
      <c r="D45" s="8" t="s">
        <v>28</v>
      </c>
      <c r="E45" s="8" t="s">
        <v>87</v>
      </c>
      <c r="F45" s="8" t="s">
        <v>79</v>
      </c>
    </row>
    <row r="46" customFormat="false" ht="15" hidden="false" customHeight="false" outlineLevel="0" collapsed="false">
      <c r="A46" s="6" t="s">
        <v>133</v>
      </c>
      <c r="B46" s="6"/>
      <c r="C46" s="25" t="n">
        <f aca="false">-$C$5</f>
        <v>-114880.75932523</v>
      </c>
      <c r="D46" s="25" t="n">
        <f aca="false">-$C$5</f>
        <v>-114880.75932523</v>
      </c>
      <c r="E46" s="25" t="n">
        <f aca="false">-$C$5</f>
        <v>-114880.75932523</v>
      </c>
      <c r="F46" s="6" t="s">
        <v>134</v>
      </c>
    </row>
    <row r="47" customFormat="false" ht="15" hidden="false" customHeight="false" outlineLevel="0" collapsed="false">
      <c r="A47" s="6" t="s">
        <v>135</v>
      </c>
      <c r="B47" s="6"/>
      <c r="C47" s="25" t="n">
        <f aca="false">C41*12-$C$6</f>
        <v>-16382.356045781</v>
      </c>
      <c r="D47" s="25" t="n">
        <f aca="false">D41*12-$C$6</f>
        <v>12307.7152617771</v>
      </c>
      <c r="E47" s="25" t="n">
        <f aca="false">E41*12-$C$6</f>
        <v>62166.7700994808</v>
      </c>
      <c r="F47" s="6" t="s">
        <v>136</v>
      </c>
    </row>
    <row r="48" customFormat="false" ht="15" hidden="false" customHeight="false" outlineLevel="0" collapsed="false">
      <c r="A48" s="6" t="s">
        <v>137</v>
      </c>
      <c r="B48" s="6"/>
      <c r="C48" s="25" t="n">
        <f aca="false">C41*12-$C$6</f>
        <v>-16382.356045781</v>
      </c>
      <c r="D48" s="25" t="n">
        <f aca="false">D41*12-$C$6</f>
        <v>12307.7152617771</v>
      </c>
      <c r="E48" s="25" t="n">
        <f aca="false">E41*12-$C$6</f>
        <v>62166.7700994808</v>
      </c>
      <c r="F48" s="6" t="s">
        <v>136</v>
      </c>
    </row>
    <row r="49" customFormat="false" ht="15" hidden="false" customHeight="false" outlineLevel="0" collapsed="false">
      <c r="A49" s="6" t="s">
        <v>138</v>
      </c>
      <c r="B49" s="6"/>
      <c r="C49" s="25" t="n">
        <f aca="false">C41*12-$C$6</f>
        <v>-16382.356045781</v>
      </c>
      <c r="D49" s="25" t="n">
        <f aca="false">D41*12-$C$6</f>
        <v>12307.7152617771</v>
      </c>
      <c r="E49" s="25" t="n">
        <f aca="false">E41*12-$C$6</f>
        <v>62166.7700994808</v>
      </c>
      <c r="F49" s="6" t="s">
        <v>136</v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</row>
    <row r="51" customFormat="false" ht="15" hidden="false" customHeight="false" outlineLevel="0" collapsed="false">
      <c r="A51" s="16" t="s">
        <v>139</v>
      </c>
      <c r="B51" s="17"/>
      <c r="C51" s="17"/>
      <c r="D51" s="17"/>
      <c r="E51" s="17"/>
      <c r="F51" s="17"/>
    </row>
    <row r="52" customFormat="false" ht="15" hidden="false" customHeight="false" outlineLevel="0" collapsed="false">
      <c r="A52" s="8" t="s">
        <v>140</v>
      </c>
      <c r="B52" s="8" t="s">
        <v>26</v>
      </c>
      <c r="C52" s="8" t="s">
        <v>86</v>
      </c>
      <c r="D52" s="8" t="s">
        <v>28</v>
      </c>
      <c r="E52" s="8" t="s">
        <v>87</v>
      </c>
      <c r="F52" s="8" t="s">
        <v>79</v>
      </c>
    </row>
    <row r="53" customFormat="false" ht="15" hidden="false" customHeight="false" outlineLevel="0" collapsed="false">
      <c r="A53" s="6" t="s">
        <v>141</v>
      </c>
      <c r="B53" s="6" t="s">
        <v>37</v>
      </c>
      <c r="C53" s="35" t="n">
        <f aca="false">C41*12</f>
        <v>16205.4801881306</v>
      </c>
      <c r="D53" s="35" t="n">
        <f aca="false">D41*12</f>
        <v>44895.5514956887</v>
      </c>
      <c r="E53" s="35" t="n">
        <f aca="false">E41*12</f>
        <v>94754.6063333923</v>
      </c>
      <c r="F53" s="6" t="s">
        <v>142</v>
      </c>
    </row>
    <row r="54" customFormat="false" ht="15" hidden="false" customHeight="false" outlineLevel="0" collapsed="false">
      <c r="A54" s="6" t="s">
        <v>143</v>
      </c>
      <c r="B54" s="6" t="s">
        <v>37</v>
      </c>
      <c r="C54" s="35" t="n">
        <f aca="false">C47</f>
        <v>-16382.356045781</v>
      </c>
      <c r="D54" s="35" t="n">
        <f aca="false">D47</f>
        <v>12307.7152617771</v>
      </c>
      <c r="E54" s="35" t="n">
        <f aca="false">E47</f>
        <v>62166.7700994808</v>
      </c>
      <c r="F54" s="6" t="s">
        <v>144</v>
      </c>
    </row>
    <row r="55" customFormat="false" ht="15" hidden="false" customHeight="false" outlineLevel="0" collapsed="false">
      <c r="A55" s="19" t="s">
        <v>145</v>
      </c>
      <c r="B55" s="6" t="s">
        <v>96</v>
      </c>
      <c r="C55" s="36" t="n">
        <f aca="false">(C46+C47+C48+C49)/$C$5</f>
        <v>-1.42780939494147</v>
      </c>
      <c r="D55" s="36" t="n">
        <f aca="false">(D46+D47+D48+D49)/$C$5</f>
        <v>-0.678595911080279</v>
      </c>
      <c r="E55" s="36" t="n">
        <f aca="false">(E46+E47+E48+E49)/$C$5</f>
        <v>0.623425118304238</v>
      </c>
      <c r="F55" s="6" t="s">
        <v>146</v>
      </c>
    </row>
    <row r="56" customFormat="false" ht="15" hidden="false" customHeight="false" outlineLevel="0" collapsed="false">
      <c r="A56" s="6" t="s">
        <v>147</v>
      </c>
      <c r="B56" s="6" t="s">
        <v>32</v>
      </c>
      <c r="C56" s="35" t="n">
        <f aca="false">C46+NPV(C33,C47:C49)</f>
        <v>-154228.414323126</v>
      </c>
      <c r="D56" s="35" t="n">
        <f aca="false">D46+NPV(D33,D47:D49)</f>
        <v>-85319.7039691259</v>
      </c>
      <c r="E56" s="35" t="n">
        <f aca="false">E46+NPV(E33,E47:E49)</f>
        <v>34433.3329440449</v>
      </c>
      <c r="F56" s="6" t="s">
        <v>148</v>
      </c>
    </row>
    <row r="57" customFormat="false" ht="15" hidden="false" customHeight="false" outlineLevel="0" collapsed="false">
      <c r="A57" s="6" t="s">
        <v>149</v>
      </c>
      <c r="B57" s="6" t="s">
        <v>96</v>
      </c>
      <c r="C57" s="37" t="str">
        <f aca="false">IFERROR(IRR(C46:C49),"No aplica")</f>
        <v>No aplica</v>
      </c>
      <c r="D57" s="37" t="str">
        <f aca="false">IFERROR(IRR(D46:D49),"No aplica")</f>
        <v>No aplica</v>
      </c>
      <c r="E57" s="37" t="n">
        <f aca="false">IFERROR(IRR(E46:E49),"No aplica")</f>
        <v>0.287715906405939</v>
      </c>
      <c r="F57" s="6" t="s">
        <v>150</v>
      </c>
    </row>
    <row r="58" customFormat="false" ht="15" hidden="false" customHeight="false" outlineLevel="0" collapsed="false">
      <c r="A58" s="19" t="s">
        <v>151</v>
      </c>
      <c r="B58" s="6" t="s">
        <v>152</v>
      </c>
      <c r="C58" s="38" t="str">
        <f aca="false">IF(C47&lt;=0,"No se recupera",$C$5/C47*12)</f>
        <v>No se recupera</v>
      </c>
      <c r="D58" s="38" t="n">
        <f aca="false">IF(D47&lt;=0,"No se recupera",$C$5/D47*12)</f>
        <v>112.008531444016</v>
      </c>
      <c r="E58" s="38" t="n">
        <f aca="false">IF(E47&lt;=0,"No se recupera",$C$5/E47*12)</f>
        <v>22.1753375589039</v>
      </c>
      <c r="F58" s="6" t="s">
        <v>153</v>
      </c>
    </row>
    <row r="59" customFormat="false" ht="25.5" hidden="false" customHeight="true" outlineLevel="0" collapsed="false">
      <c r="A59" s="22" t="s">
        <v>154</v>
      </c>
      <c r="B59" s="22"/>
      <c r="C59" s="22"/>
      <c r="D59" s="22"/>
      <c r="E59" s="22"/>
      <c r="F59" s="22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</row>
    <row r="61" customFormat="false" ht="15" hidden="false" customHeight="false" outlineLevel="0" collapsed="false">
      <c r="A61" s="16" t="s">
        <v>155</v>
      </c>
      <c r="B61" s="17"/>
      <c r="C61" s="17"/>
      <c r="D61" s="17"/>
      <c r="E61" s="17"/>
      <c r="F61" s="17"/>
    </row>
    <row r="62" customFormat="false" ht="15" hidden="false" customHeight="false" outlineLevel="0" collapsed="false">
      <c r="A62" s="8" t="s">
        <v>156</v>
      </c>
      <c r="B62" s="8" t="s">
        <v>26</v>
      </c>
      <c r="C62" s="8" t="s">
        <v>86</v>
      </c>
      <c r="D62" s="8" t="s">
        <v>28</v>
      </c>
      <c r="E62" s="8" t="s">
        <v>87</v>
      </c>
      <c r="F62" s="8" t="s">
        <v>79</v>
      </c>
    </row>
    <row r="63" customFormat="false" ht="15" hidden="false" customHeight="false" outlineLevel="0" collapsed="false">
      <c r="A63" s="6" t="s">
        <v>157</v>
      </c>
      <c r="B63" s="6" t="s">
        <v>90</v>
      </c>
      <c r="C63" s="39" t="n">
        <f aca="false">IF((C20*C21*Supuestos!$D$34/Supuestos!$D$6)=0,0,MAX(0,$C$13-(C41-C36))/(C20*C21*Supuestos!$D$34/Supuestos!$D$6))</f>
        <v>17.4007798971092</v>
      </c>
      <c r="D63" s="39" t="n">
        <f aca="false">IF((D20*D21*Supuestos!$D$34/Supuestos!$D$6)=0,0,MAX(0,$C$13-(D41-D36))/(D20*D21*Supuestos!$D$34/Supuestos!$D$6))</f>
        <v>9.01911232016667</v>
      </c>
      <c r="E63" s="39" t="n">
        <f aca="false">IF((E20*E21*Supuestos!$D$34/Supuestos!$D$6)=0,0,MAX(0,$C$13-(E41-E36))/(E20*E21*Supuestos!$D$34/Supuestos!$D$6))</f>
        <v>2.97399745476749</v>
      </c>
      <c r="F63" s="6" t="s">
        <v>158</v>
      </c>
    </row>
    <row r="64" customFormat="false" ht="15" hidden="false" customHeight="false" outlineLevel="0" collapsed="false">
      <c r="A64" s="6" t="s">
        <v>159</v>
      </c>
      <c r="B64" s="6" t="s">
        <v>90</v>
      </c>
      <c r="C64" s="39" t="n">
        <f aca="false">IF((C20*C21*Supuestos!$D$34/Supuestos!$D$6)=0,0,MAX(0,$C$14-(C41-C36))/(C20*C21*Supuestos!$D$34/Supuestos!$D$6))</f>
        <v>14.7042049985842</v>
      </c>
      <c r="D64" s="39" t="n">
        <f aca="false">IF((D20*D21*Supuestos!$D$34/Supuestos!$D$6)=0,0,MAX(0,$C$14-(D41-D36))/(D20*D21*Supuestos!$D$34/Supuestos!$D$6))</f>
        <v>7.17003238974954</v>
      </c>
      <c r="E64" s="39" t="n">
        <f aca="false">IF((E20*E21*Supuestos!$D$34/Supuestos!$D$6)=0,0,MAX(0,$C$14-(E41-E36))/(E20*E21*Supuestos!$D$34/Supuestos!$D$6))</f>
        <v>1.76053875043126</v>
      </c>
      <c r="F64" s="6" t="s">
        <v>158</v>
      </c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</row>
    <row r="66" customFormat="false" ht="15" hidden="false" customHeight="false" outlineLevel="0" collapsed="false">
      <c r="A66" s="16" t="s">
        <v>160</v>
      </c>
      <c r="B66" s="17"/>
      <c r="C66" s="17"/>
      <c r="D66" s="17"/>
      <c r="E66" s="17"/>
      <c r="F66" s="17"/>
    </row>
    <row r="67" customFormat="false" ht="26.85" hidden="false" customHeight="false" outlineLevel="0" collapsed="false">
      <c r="A67" s="8" t="s">
        <v>161</v>
      </c>
      <c r="B67" s="8"/>
      <c r="C67" s="8" t="s">
        <v>162</v>
      </c>
      <c r="D67" s="8" t="s">
        <v>163</v>
      </c>
      <c r="E67" s="8" t="s">
        <v>164</v>
      </c>
      <c r="F67" s="8" t="s">
        <v>165</v>
      </c>
    </row>
    <row r="68" customFormat="false" ht="26.85" hidden="false" customHeight="false" outlineLevel="0" collapsed="false">
      <c r="A68" s="6" t="s">
        <v>166</v>
      </c>
      <c r="B68" s="6"/>
      <c r="C68" s="40" t="n">
        <f aca="false">IF((C$41*12-C_Operacion!C14)&lt;=0,"No se recupera",B_Inversion!C23/(C$41*12-C_Operacion!C14)*12)</f>
        <v>290.618518379165</v>
      </c>
      <c r="D68" s="40" t="n">
        <f aca="false">IF((D$41*12-C_Operacion!C14)&lt;=0,"No se recupera",B_Inversion!C23/(D$41*12-C_Operacion!C14)*12)</f>
        <v>26.7010386512099</v>
      </c>
      <c r="E68" s="40" t="n">
        <f aca="false">IF((E$41*12-C_Operacion!C14)&lt;=0,"No se recupera",B_Inversion!C23/(E$41*12-C_Operacion!C14)*12)</f>
        <v>10.356534628314</v>
      </c>
      <c r="F68" s="20" t="s">
        <v>167</v>
      </c>
    </row>
    <row r="69" customFormat="false" ht="15" hidden="false" customHeight="false" outlineLevel="0" collapsed="false">
      <c r="A69" s="6" t="s">
        <v>168</v>
      </c>
      <c r="B69" s="6"/>
      <c r="C69" s="40" t="str">
        <f aca="false">IF((C$41*12-C_Operacion!D14)&lt;=0,"No se recupera",B_Inversion!D23/(C$41*12-C_Operacion!D14)*12)</f>
        <v>No se recupera</v>
      </c>
      <c r="D69" s="40" t="n">
        <f aca="false">IF((D$41*12-C_Operacion!D14)&lt;=0,"No se recupera",B_Inversion!D23/(D$41*12-C_Operacion!D14)*12)</f>
        <v>112.008531444016</v>
      </c>
      <c r="E69" s="40" t="n">
        <f aca="false">IF((E$41*12-C_Operacion!D14)&lt;=0,"No se recupera",B_Inversion!D23/(E$41*12-C_Operacion!D14)*12)</f>
        <v>22.1753375589039</v>
      </c>
      <c r="F69" s="6"/>
    </row>
    <row r="70" customFormat="false" ht="15" hidden="false" customHeight="false" outlineLevel="0" collapsed="false">
      <c r="A70" s="6" t="s">
        <v>169</v>
      </c>
      <c r="B70" s="6"/>
      <c r="C70" s="40" t="str">
        <f aca="false">IF((C$41*12-C_Operacion!E14)&lt;=0,"No se recupera",B_Inversion!E23/(C$41*12-C_Operacion!E14)*12)</f>
        <v>No se recupera</v>
      </c>
      <c r="D70" s="40" t="str">
        <f aca="false">IF((D$41*12-C_Operacion!E14)&lt;=0,"No se recupera",B_Inversion!E23/(D$41*12-C_Operacion!E14)*12)</f>
        <v>No se recupera</v>
      </c>
      <c r="E70" s="40" t="n">
        <f aca="false">IF((E$41*12-C_Operacion!E14)&lt;=0,"No se recupera",B_Inversion!E23/(E$41*12-C_Operacion!E14)*12)</f>
        <v>150.171857249384</v>
      </c>
      <c r="F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</row>
    <row r="72" customFormat="false" ht="15" hidden="false" customHeight="false" outlineLevel="0" collapsed="false">
      <c r="A72" s="16" t="s">
        <v>170</v>
      </c>
      <c r="B72" s="17"/>
      <c r="C72" s="17"/>
      <c r="D72" s="17"/>
      <c r="E72" s="17"/>
      <c r="F72" s="17"/>
    </row>
    <row r="73" customFormat="false" ht="15" hidden="false" customHeight="false" outlineLevel="0" collapsed="false">
      <c r="A73" s="6" t="s">
        <v>171</v>
      </c>
      <c r="B73" s="6" t="s">
        <v>40</v>
      </c>
      <c r="C73" s="10" t="n">
        <f aca="false">Resumen!D10</f>
        <v>7383.48152871405</v>
      </c>
      <c r="D73" s="6"/>
      <c r="E73" s="6"/>
      <c r="F73" s="6" t="s">
        <v>172</v>
      </c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</row>
  </sheetData>
  <mergeCells count="2">
    <mergeCell ref="A2:F2"/>
    <mergeCell ref="A59:F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5" min="3" style="0" width="15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5" t="s">
        <v>173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7" t="s">
        <v>174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</row>
    <row r="4" customFormat="false" ht="15" hidden="false" customHeight="false" outlineLevel="0" collapsed="false">
      <c r="A4" s="8" t="s">
        <v>175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176</v>
      </c>
    </row>
    <row r="5" customFormat="false" ht="15" hidden="false" customHeight="false" outlineLevel="0" collapsed="false">
      <c r="A5" s="41" t="s">
        <v>177</v>
      </c>
      <c r="B5" s="42"/>
      <c r="C5" s="42"/>
      <c r="D5" s="42"/>
      <c r="E5" s="42"/>
      <c r="F5" s="42"/>
    </row>
    <row r="6" customFormat="false" ht="15" hidden="false" customHeight="false" outlineLevel="0" collapsed="false">
      <c r="A6" s="43" t="s">
        <v>178</v>
      </c>
      <c r="B6" s="43" t="s">
        <v>179</v>
      </c>
      <c r="C6" s="44" t="n">
        <v>3163.76</v>
      </c>
      <c r="D6" s="44" t="n">
        <v>3163.76</v>
      </c>
      <c r="E6" s="44" t="n">
        <v>3163.76</v>
      </c>
      <c r="F6" s="45" t="s">
        <v>180</v>
      </c>
    </row>
    <row r="7" customFormat="false" ht="15" hidden="false" customHeight="false" outlineLevel="0" collapsed="false">
      <c r="A7" s="43" t="s">
        <v>181</v>
      </c>
      <c r="B7" s="43" t="s">
        <v>182</v>
      </c>
      <c r="C7" s="44" t="n">
        <v>1</v>
      </c>
      <c r="D7" s="44" t="n">
        <v>1</v>
      </c>
      <c r="E7" s="44" t="n">
        <v>1</v>
      </c>
      <c r="F7" s="45" t="s">
        <v>183</v>
      </c>
    </row>
    <row r="8" customFormat="false" ht="15" hidden="false" customHeight="false" outlineLevel="0" collapsed="false">
      <c r="A8" s="43" t="s">
        <v>184</v>
      </c>
      <c r="B8" s="43" t="s">
        <v>182</v>
      </c>
      <c r="C8" s="44" t="n">
        <v>1</v>
      </c>
      <c r="D8" s="44" t="n">
        <v>1</v>
      </c>
      <c r="E8" s="44" t="n">
        <v>1</v>
      </c>
      <c r="F8" s="45" t="s">
        <v>185</v>
      </c>
    </row>
    <row r="9" customFormat="false" ht="15" hidden="false" customHeight="false" outlineLevel="0" collapsed="false">
      <c r="A9" s="43" t="s">
        <v>186</v>
      </c>
      <c r="B9" s="43" t="s">
        <v>152</v>
      </c>
      <c r="C9" s="46" t="n">
        <v>36</v>
      </c>
      <c r="D9" s="46" t="n">
        <v>36</v>
      </c>
      <c r="E9" s="46" t="n">
        <v>36</v>
      </c>
      <c r="F9" s="45" t="s">
        <v>187</v>
      </c>
    </row>
    <row r="10" customFormat="false" ht="15" hidden="false" customHeight="false" outlineLevel="0" collapsed="false">
      <c r="A10" s="41" t="s">
        <v>188</v>
      </c>
      <c r="B10" s="42"/>
      <c r="C10" s="42"/>
      <c r="D10" s="42"/>
      <c r="E10" s="42"/>
      <c r="F10" s="42"/>
    </row>
    <row r="11" customFormat="false" ht="22.35" hidden="false" customHeight="false" outlineLevel="0" collapsed="false">
      <c r="A11" s="43" t="s">
        <v>189</v>
      </c>
      <c r="B11" s="43" t="s">
        <v>190</v>
      </c>
      <c r="C11" s="47" t="n">
        <v>25600</v>
      </c>
      <c r="D11" s="47" t="n">
        <v>27999</v>
      </c>
      <c r="E11" s="47" t="n">
        <v>42999</v>
      </c>
      <c r="F11" s="45" t="s">
        <v>191</v>
      </c>
    </row>
    <row r="12" customFormat="false" ht="22.35" hidden="false" customHeight="false" outlineLevel="0" collapsed="false">
      <c r="A12" s="43" t="s">
        <v>192</v>
      </c>
      <c r="B12" s="43" t="s">
        <v>190</v>
      </c>
      <c r="C12" s="47" t="n">
        <v>6080</v>
      </c>
      <c r="D12" s="47" t="n">
        <v>7199</v>
      </c>
      <c r="E12" s="47" t="n">
        <v>7999</v>
      </c>
      <c r="F12" s="45" t="s">
        <v>193</v>
      </c>
    </row>
    <row r="13" customFormat="false" ht="15" hidden="false" customHeight="false" outlineLevel="0" collapsed="false">
      <c r="A13" s="43" t="s">
        <v>194</v>
      </c>
      <c r="B13" s="43" t="s">
        <v>182</v>
      </c>
      <c r="C13" s="46" t="n">
        <v>0</v>
      </c>
      <c r="D13" s="46" t="n">
        <v>1</v>
      </c>
      <c r="E13" s="46" t="n">
        <v>2</v>
      </c>
      <c r="F13" s="45" t="s">
        <v>195</v>
      </c>
    </row>
    <row r="14" customFormat="false" ht="15" hidden="false" customHeight="false" outlineLevel="0" collapsed="false">
      <c r="A14" s="43" t="s">
        <v>196</v>
      </c>
      <c r="B14" s="43" t="s">
        <v>190</v>
      </c>
      <c r="C14" s="47" t="n">
        <v>1499</v>
      </c>
      <c r="D14" s="47" t="n">
        <v>1499</v>
      </c>
      <c r="E14" s="47" t="n">
        <v>1499</v>
      </c>
      <c r="F14" s="45" t="s">
        <v>197</v>
      </c>
    </row>
    <row r="15" customFormat="false" ht="15" hidden="false" customHeight="false" outlineLevel="0" collapsed="false">
      <c r="A15" s="43" t="s">
        <v>198</v>
      </c>
      <c r="B15" s="43" t="s">
        <v>199</v>
      </c>
      <c r="C15" s="48" t="n">
        <v>0.05</v>
      </c>
      <c r="D15" s="48" t="n">
        <v>0.1</v>
      </c>
      <c r="E15" s="48" t="n">
        <v>0.15</v>
      </c>
      <c r="F15" s="45" t="s">
        <v>200</v>
      </c>
    </row>
    <row r="16" customFormat="false" ht="15" hidden="false" customHeight="false" outlineLevel="0" collapsed="false">
      <c r="A16" s="43" t="s">
        <v>201</v>
      </c>
      <c r="B16" s="43" t="s">
        <v>96</v>
      </c>
      <c r="C16" s="49" t="n">
        <v>0.19</v>
      </c>
      <c r="D16" s="49" t="n">
        <v>0.19</v>
      </c>
      <c r="E16" s="49" t="n">
        <v>0.19</v>
      </c>
      <c r="F16" s="45" t="s">
        <v>202</v>
      </c>
    </row>
    <row r="17" customFormat="false" ht="15" hidden="false" customHeight="false" outlineLevel="0" collapsed="false">
      <c r="A17" s="41" t="s">
        <v>203</v>
      </c>
      <c r="B17" s="42"/>
      <c r="C17" s="42"/>
      <c r="D17" s="42"/>
      <c r="E17" s="42"/>
      <c r="F17" s="42"/>
    </row>
    <row r="18" customFormat="false" ht="22.35" hidden="false" customHeight="false" outlineLevel="0" collapsed="false">
      <c r="A18" s="43" t="s">
        <v>204</v>
      </c>
      <c r="B18" s="43" t="s">
        <v>205</v>
      </c>
      <c r="C18" s="50" t="n">
        <v>1500</v>
      </c>
      <c r="D18" s="50" t="n">
        <v>2500</v>
      </c>
      <c r="E18" s="50" t="n">
        <v>4000</v>
      </c>
      <c r="F18" s="45" t="s">
        <v>206</v>
      </c>
    </row>
    <row r="19" customFormat="false" ht="15" hidden="false" customHeight="false" outlineLevel="0" collapsed="false">
      <c r="A19" s="43" t="s">
        <v>207</v>
      </c>
      <c r="B19" s="43" t="s">
        <v>205</v>
      </c>
      <c r="C19" s="50" t="n">
        <v>1000</v>
      </c>
      <c r="D19" s="50" t="n">
        <v>2000</v>
      </c>
      <c r="E19" s="50" t="n">
        <v>3500</v>
      </c>
      <c r="F19" s="45" t="s">
        <v>208</v>
      </c>
    </row>
    <row r="20" customFormat="false" ht="15" hidden="false" customHeight="false" outlineLevel="0" collapsed="false">
      <c r="A20" s="41" t="s">
        <v>209</v>
      </c>
      <c r="B20" s="42"/>
      <c r="C20" s="42"/>
      <c r="D20" s="42"/>
      <c r="E20" s="42"/>
      <c r="F20" s="42"/>
    </row>
    <row r="21" customFormat="false" ht="15" hidden="false" customHeight="false" outlineLevel="0" collapsed="false">
      <c r="A21" s="43" t="s">
        <v>210</v>
      </c>
      <c r="B21" s="43" t="s">
        <v>211</v>
      </c>
      <c r="C21" s="51" t="n">
        <v>3</v>
      </c>
      <c r="D21" s="51" t="n">
        <v>4</v>
      </c>
      <c r="E21" s="51" t="n">
        <v>5</v>
      </c>
      <c r="F21" s="45" t="s">
        <v>208</v>
      </c>
    </row>
    <row r="22" customFormat="false" ht="22.35" hidden="false" customHeight="false" outlineLevel="0" collapsed="false">
      <c r="A22" s="43" t="s">
        <v>212</v>
      </c>
      <c r="B22" s="43" t="s">
        <v>152</v>
      </c>
      <c r="C22" s="51" t="n">
        <v>3</v>
      </c>
      <c r="D22" s="51" t="n">
        <v>4</v>
      </c>
      <c r="E22" s="51" t="n">
        <v>6</v>
      </c>
      <c r="F22" s="45" t="s">
        <v>213</v>
      </c>
    </row>
    <row r="23" customFormat="false" ht="22.35" hidden="false" customHeight="false" outlineLevel="0" collapsed="false">
      <c r="A23" s="43" t="s">
        <v>214</v>
      </c>
      <c r="B23" s="43" t="s">
        <v>101</v>
      </c>
      <c r="C23" s="46" t="n">
        <v>6000000</v>
      </c>
      <c r="D23" s="46" t="n">
        <v>8000000</v>
      </c>
      <c r="E23" s="46" t="n">
        <v>10000000</v>
      </c>
      <c r="F23" s="45" t="s">
        <v>215</v>
      </c>
    </row>
    <row r="24" customFormat="false" ht="15" hidden="false" customHeight="false" outlineLevel="0" collapsed="false">
      <c r="A24" s="41" t="s">
        <v>216</v>
      </c>
      <c r="B24" s="42"/>
      <c r="C24" s="42"/>
      <c r="D24" s="42"/>
      <c r="E24" s="42"/>
      <c r="F24" s="42"/>
    </row>
    <row r="25" customFormat="false" ht="15" hidden="false" customHeight="false" outlineLevel="0" collapsed="false">
      <c r="A25" s="43" t="s">
        <v>217</v>
      </c>
      <c r="B25" s="43" t="s">
        <v>205</v>
      </c>
      <c r="C25" s="50" t="n">
        <v>1000</v>
      </c>
      <c r="D25" s="50" t="n">
        <v>2000</v>
      </c>
      <c r="E25" s="50" t="n">
        <v>4000</v>
      </c>
      <c r="F25" s="45" t="s">
        <v>208</v>
      </c>
    </row>
    <row r="26" customFormat="false" ht="22.35" hidden="false" customHeight="false" outlineLevel="0" collapsed="false">
      <c r="A26" s="43" t="s">
        <v>218</v>
      </c>
      <c r="B26" s="43" t="s">
        <v>219</v>
      </c>
      <c r="C26" s="46" t="n">
        <v>5000000</v>
      </c>
      <c r="D26" s="46" t="n">
        <v>10000000</v>
      </c>
      <c r="E26" s="46" t="n">
        <v>20000000</v>
      </c>
      <c r="F26" s="45" t="s">
        <v>220</v>
      </c>
    </row>
    <row r="27" customFormat="false" ht="15" hidden="false" customHeight="false" outlineLevel="0" collapsed="false">
      <c r="A27" s="43" t="s">
        <v>221</v>
      </c>
      <c r="B27" s="43" t="s">
        <v>219</v>
      </c>
      <c r="C27" s="46" t="n">
        <v>2000000</v>
      </c>
      <c r="D27" s="46" t="n">
        <v>4000000</v>
      </c>
      <c r="E27" s="46" t="n">
        <v>6000000</v>
      </c>
      <c r="F27" s="45" t="s">
        <v>208</v>
      </c>
    </row>
    <row r="28" customFormat="false" ht="15" hidden="false" customHeight="false" outlineLevel="0" collapsed="false">
      <c r="A28" s="43" t="s">
        <v>222</v>
      </c>
      <c r="B28" s="43" t="s">
        <v>152</v>
      </c>
      <c r="C28" s="44" t="n">
        <v>3</v>
      </c>
      <c r="D28" s="44" t="n">
        <v>3</v>
      </c>
      <c r="E28" s="44" t="n">
        <v>3</v>
      </c>
      <c r="F28" s="45" t="s">
        <v>223</v>
      </c>
    </row>
    <row r="29" customFormat="false" ht="15" hidden="false" customHeight="false" outlineLevel="0" collapsed="false">
      <c r="A29" s="43" t="s">
        <v>224</v>
      </c>
      <c r="B29" s="43" t="s">
        <v>225</v>
      </c>
      <c r="C29" s="51" t="n">
        <v>4</v>
      </c>
      <c r="D29" s="51" t="n">
        <v>6</v>
      </c>
      <c r="E29" s="51" t="n">
        <v>8</v>
      </c>
      <c r="F29" s="45" t="s">
        <v>208</v>
      </c>
    </row>
    <row r="30" customFormat="false" ht="15" hidden="false" customHeight="false" outlineLevel="0" collapsed="false">
      <c r="A30" s="43" t="s">
        <v>226</v>
      </c>
      <c r="B30" s="43" t="s">
        <v>227</v>
      </c>
      <c r="C30" s="49" t="n">
        <v>0.1</v>
      </c>
      <c r="D30" s="49" t="n">
        <v>0.125</v>
      </c>
      <c r="E30" s="49" t="n">
        <v>0.15</v>
      </c>
      <c r="F30" s="45" t="s">
        <v>228</v>
      </c>
    </row>
    <row r="31" customFormat="false" ht="15" hidden="false" customHeight="false" outlineLevel="0" collapsed="false">
      <c r="A31" s="41" t="s">
        <v>229</v>
      </c>
      <c r="B31" s="42"/>
      <c r="C31" s="42"/>
      <c r="D31" s="42"/>
      <c r="E31" s="42"/>
      <c r="F31" s="42"/>
    </row>
    <row r="32" customFormat="false" ht="22.35" hidden="false" customHeight="false" outlineLevel="0" collapsed="false">
      <c r="A32" s="43" t="s">
        <v>230</v>
      </c>
      <c r="B32" s="43" t="s">
        <v>101</v>
      </c>
      <c r="C32" s="46" t="n">
        <v>3000000</v>
      </c>
      <c r="D32" s="46" t="n">
        <v>3500000</v>
      </c>
      <c r="E32" s="46" t="n">
        <v>4000000</v>
      </c>
      <c r="F32" s="45" t="s">
        <v>231</v>
      </c>
    </row>
    <row r="33" customFormat="false" ht="15" hidden="false" customHeight="false" outlineLevel="0" collapsed="false">
      <c r="A33" s="43" t="s">
        <v>232</v>
      </c>
      <c r="B33" s="43" t="s">
        <v>233</v>
      </c>
      <c r="C33" s="44" t="n">
        <v>192</v>
      </c>
      <c r="D33" s="44" t="n">
        <v>192</v>
      </c>
      <c r="E33" s="44" t="n">
        <v>192</v>
      </c>
      <c r="F33" s="45" t="s">
        <v>234</v>
      </c>
    </row>
    <row r="34" customFormat="false" ht="15" hidden="false" customHeight="false" outlineLevel="0" collapsed="false">
      <c r="A34" s="43" t="s">
        <v>235</v>
      </c>
      <c r="B34" s="43" t="s">
        <v>236</v>
      </c>
      <c r="C34" s="46" t="n">
        <v>26</v>
      </c>
      <c r="D34" s="46" t="n">
        <v>26</v>
      </c>
      <c r="E34" s="46" t="n">
        <v>30</v>
      </c>
      <c r="F34" s="45" t="s">
        <v>208</v>
      </c>
    </row>
    <row r="35" customFormat="false" ht="15" hidden="false" customHeight="false" outlineLevel="0" collapsed="false">
      <c r="A35" s="41" t="s">
        <v>71</v>
      </c>
      <c r="B35" s="42"/>
      <c r="C35" s="42"/>
      <c r="D35" s="42"/>
      <c r="E35" s="42"/>
      <c r="F35" s="42"/>
    </row>
    <row r="36" customFormat="false" ht="22.35" hidden="false" customHeight="false" outlineLevel="0" collapsed="false">
      <c r="A36" s="43" t="s">
        <v>237</v>
      </c>
      <c r="B36" s="43" t="s">
        <v>40</v>
      </c>
      <c r="C36" s="50" t="n">
        <v>50</v>
      </c>
      <c r="D36" s="50" t="n">
        <v>150</v>
      </c>
      <c r="E36" s="50" t="n">
        <v>400</v>
      </c>
      <c r="F36" s="45" t="s">
        <v>238</v>
      </c>
    </row>
    <row r="37" customFormat="false" ht="22.35" hidden="false" customHeight="false" outlineLevel="0" collapsed="false">
      <c r="A37" s="43" t="s">
        <v>239</v>
      </c>
      <c r="B37" s="43" t="s">
        <v>240</v>
      </c>
      <c r="C37" s="50" t="n">
        <v>50</v>
      </c>
      <c r="D37" s="50" t="n">
        <v>150</v>
      </c>
      <c r="E37" s="50" t="n">
        <v>400</v>
      </c>
      <c r="F37" s="45" t="s">
        <v>241</v>
      </c>
    </row>
    <row r="38" customFormat="false" ht="15" hidden="false" customHeight="false" outlineLevel="0" collapsed="false">
      <c r="A38" s="43" t="s">
        <v>242</v>
      </c>
      <c r="B38" s="43" t="s">
        <v>243</v>
      </c>
      <c r="C38" s="48" t="n">
        <v>0.08</v>
      </c>
      <c r="D38" s="48" t="n">
        <v>0.12</v>
      </c>
      <c r="E38" s="48" t="n">
        <v>0.15</v>
      </c>
      <c r="F38" s="45" t="s">
        <v>208</v>
      </c>
    </row>
    <row r="39" customFormat="false" ht="22.35" hidden="false" customHeight="false" outlineLevel="0" collapsed="false">
      <c r="A39" s="43" t="s">
        <v>244</v>
      </c>
      <c r="B39" s="43" t="s">
        <v>245</v>
      </c>
      <c r="C39" s="51" t="n">
        <v>0.25</v>
      </c>
      <c r="D39" s="51" t="n">
        <v>0.5</v>
      </c>
      <c r="E39" s="51" t="n">
        <v>1</v>
      </c>
      <c r="F39" s="45" t="s">
        <v>246</v>
      </c>
    </row>
    <row r="40" customFormat="false" ht="15" hidden="false" customHeight="false" outlineLevel="0" collapsed="false">
      <c r="A40" s="43" t="s">
        <v>247</v>
      </c>
      <c r="B40" s="43" t="s">
        <v>225</v>
      </c>
      <c r="C40" s="51" t="n">
        <v>1</v>
      </c>
      <c r="D40" s="51" t="n">
        <v>2</v>
      </c>
      <c r="E40" s="51" t="n">
        <v>3</v>
      </c>
      <c r="F40" s="45" t="s">
        <v>248</v>
      </c>
    </row>
    <row r="41" customFormat="false" ht="15" hidden="false" customHeight="false" outlineLevel="0" collapsed="false">
      <c r="A41" s="43" t="s">
        <v>249</v>
      </c>
      <c r="B41" s="43" t="s">
        <v>243</v>
      </c>
      <c r="C41" s="48" t="n">
        <v>0.015</v>
      </c>
      <c r="D41" s="48" t="n">
        <v>0.02</v>
      </c>
      <c r="E41" s="48" t="n">
        <v>0.03</v>
      </c>
      <c r="F41" s="45" t="s">
        <v>208</v>
      </c>
    </row>
    <row r="42" customFormat="false" ht="15" hidden="false" customHeight="false" outlineLevel="0" collapsed="false">
      <c r="A42" s="43" t="s">
        <v>250</v>
      </c>
      <c r="B42" s="43" t="s">
        <v>251</v>
      </c>
      <c r="C42" s="46" t="n">
        <v>1000000</v>
      </c>
      <c r="D42" s="46" t="n">
        <v>2000000</v>
      </c>
      <c r="E42" s="46" t="n">
        <v>3000000</v>
      </c>
      <c r="F42" s="45" t="s">
        <v>208</v>
      </c>
    </row>
    <row r="43" customFormat="false" ht="15" hidden="false" customHeight="false" outlineLevel="0" collapsed="false">
      <c r="A43" s="43" t="s">
        <v>252</v>
      </c>
      <c r="B43" s="43" t="s">
        <v>253</v>
      </c>
      <c r="C43" s="50" t="n">
        <v>50</v>
      </c>
      <c r="D43" s="50" t="n">
        <v>100</v>
      </c>
      <c r="E43" s="50" t="n">
        <v>150</v>
      </c>
      <c r="F43" s="45" t="s">
        <v>208</v>
      </c>
    </row>
    <row r="44" customFormat="false" ht="15" hidden="false" customHeight="false" outlineLevel="0" collapsed="false">
      <c r="A44" s="41" t="s">
        <v>254</v>
      </c>
      <c r="B44" s="42"/>
      <c r="C44" s="42"/>
      <c r="D44" s="42"/>
      <c r="E44" s="42"/>
      <c r="F44" s="42"/>
    </row>
    <row r="45" customFormat="false" ht="15" hidden="false" customHeight="false" outlineLevel="0" collapsed="false">
      <c r="A45" s="43" t="s">
        <v>255</v>
      </c>
      <c r="B45" s="43" t="s">
        <v>96</v>
      </c>
      <c r="C45" s="48" t="n">
        <v>0.2</v>
      </c>
      <c r="D45" s="48" t="n">
        <v>0.25</v>
      </c>
      <c r="E45" s="48" t="n">
        <v>0.3</v>
      </c>
      <c r="F45" s="45" t="s">
        <v>208</v>
      </c>
    </row>
    <row r="46" customFormat="false" ht="15" hidden="false" customHeight="false" outlineLevel="0" collapsed="false">
      <c r="A46" s="41" t="s">
        <v>256</v>
      </c>
      <c r="B46" s="42"/>
      <c r="C46" s="42"/>
      <c r="D46" s="42"/>
      <c r="E46" s="42"/>
      <c r="F46" s="42"/>
    </row>
    <row r="47" customFormat="false" ht="15" hidden="false" customHeight="false" outlineLevel="0" collapsed="false">
      <c r="A47" s="43" t="s">
        <v>257</v>
      </c>
      <c r="B47" s="43" t="s">
        <v>258</v>
      </c>
      <c r="C47" s="46" t="n">
        <v>80</v>
      </c>
      <c r="D47" s="46" t="n">
        <v>120</v>
      </c>
      <c r="E47" s="46" t="n">
        <v>160</v>
      </c>
      <c r="F47" s="45" t="s">
        <v>259</v>
      </c>
    </row>
    <row r="48" customFormat="false" ht="15" hidden="false" customHeight="false" outlineLevel="0" collapsed="false">
      <c r="A48" s="43" t="s">
        <v>260</v>
      </c>
      <c r="B48" s="43" t="s">
        <v>107</v>
      </c>
      <c r="C48" s="51" t="n">
        <v>2</v>
      </c>
      <c r="D48" s="51" t="n">
        <v>3</v>
      </c>
      <c r="E48" s="51" t="n">
        <v>4</v>
      </c>
      <c r="F48" s="45" t="s">
        <v>261</v>
      </c>
    </row>
    <row r="49" customFormat="false" ht="15" hidden="false" customHeight="false" outlineLevel="0" collapsed="false">
      <c r="A49" s="43" t="s">
        <v>262</v>
      </c>
      <c r="B49" s="43" t="s">
        <v>96</v>
      </c>
      <c r="C49" s="49" t="n">
        <v>0.3</v>
      </c>
      <c r="D49" s="49" t="n">
        <v>0.3</v>
      </c>
      <c r="E49" s="49" t="n">
        <v>0.3</v>
      </c>
      <c r="F49" s="45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2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5" t="s">
        <v>264</v>
      </c>
      <c r="B1" s="6"/>
      <c r="C1" s="6"/>
      <c r="D1" s="6"/>
    </row>
    <row r="2" customFormat="false" ht="15" hidden="false" customHeight="false" outlineLevel="0" collapsed="false">
      <c r="A2" s="7" t="s">
        <v>265</v>
      </c>
      <c r="B2" s="6"/>
      <c r="C2" s="6"/>
      <c r="D2" s="6"/>
    </row>
    <row r="3" customFormat="false" ht="15" hidden="false" customHeight="false" outlineLevel="0" collapsed="false">
      <c r="A3" s="6"/>
      <c r="B3" s="6"/>
      <c r="C3" s="6"/>
      <c r="D3" s="6"/>
    </row>
    <row r="4" customFormat="false" ht="15" hidden="false" customHeight="false" outlineLevel="0" collapsed="false">
      <c r="A4" s="19" t="s">
        <v>266</v>
      </c>
      <c r="B4" s="6"/>
      <c r="C4" s="6"/>
      <c r="D4" s="6"/>
    </row>
    <row r="5" customFormat="false" ht="15" hidden="false" customHeight="false" outlineLevel="0" collapsed="false">
      <c r="A5" s="6" t="s">
        <v>267</v>
      </c>
      <c r="B5" s="30" t="n">
        <v>5</v>
      </c>
      <c r="C5" s="6"/>
      <c r="D5" s="20" t="s">
        <v>268</v>
      </c>
    </row>
    <row r="6" customFormat="false" ht="15" hidden="false" customHeight="false" outlineLevel="0" collapsed="false">
      <c r="A6" s="6" t="s">
        <v>269</v>
      </c>
      <c r="B6" s="30" t="n">
        <v>24</v>
      </c>
      <c r="C6" s="6"/>
      <c r="D6" s="20" t="s">
        <v>270</v>
      </c>
    </row>
    <row r="7" customFormat="false" ht="26.85" hidden="false" customHeight="false" outlineLevel="0" collapsed="false">
      <c r="A7" s="6" t="s">
        <v>271</v>
      </c>
      <c r="B7" s="52" t="n">
        <f aca="false">Supuestos!$D$23/Supuestos!$D$33/Supuestos!$D$6</f>
        <v>13.1699833952849</v>
      </c>
      <c r="C7" s="6"/>
      <c r="D7" s="20" t="s">
        <v>272</v>
      </c>
    </row>
    <row r="8" customFormat="false" ht="15" hidden="false" customHeight="false" outlineLevel="0" collapsed="false">
      <c r="A8" s="6"/>
      <c r="B8" s="6"/>
      <c r="C8" s="6"/>
      <c r="D8" s="20"/>
    </row>
    <row r="9" customFormat="false" ht="26.85" hidden="false" customHeight="false" outlineLevel="0" collapsed="false">
      <c r="A9" s="8" t="s">
        <v>175</v>
      </c>
      <c r="B9" s="8" t="s">
        <v>273</v>
      </c>
      <c r="C9" s="8" t="s">
        <v>274</v>
      </c>
      <c r="D9" s="53" t="s">
        <v>30</v>
      </c>
    </row>
    <row r="10" customFormat="false" ht="15" hidden="false" customHeight="false" outlineLevel="0" collapsed="false">
      <c r="A10" s="6" t="s">
        <v>275</v>
      </c>
      <c r="B10" s="10" t="n">
        <f aca="false">Supuestos!$D$11</f>
        <v>27999</v>
      </c>
      <c r="C10" s="54" t="n">
        <v>0</v>
      </c>
      <c r="D10" s="20" t="s">
        <v>276</v>
      </c>
    </row>
    <row r="11" customFormat="false" ht="15" hidden="false" customHeight="false" outlineLevel="0" collapsed="false">
      <c r="A11" s="6" t="s">
        <v>277</v>
      </c>
      <c r="B11" s="10" t="n">
        <f aca="false">Supuestos!$D$12</f>
        <v>7199</v>
      </c>
      <c r="C11" s="54" t="n">
        <v>0</v>
      </c>
      <c r="D11" s="20" t="s">
        <v>276</v>
      </c>
    </row>
    <row r="12" customFormat="false" ht="15" hidden="false" customHeight="false" outlineLevel="0" collapsed="false">
      <c r="A12" s="6" t="s">
        <v>278</v>
      </c>
      <c r="B12" s="14" t="n">
        <f aca="false">B5*B6*B7</f>
        <v>1580.39800743419</v>
      </c>
      <c r="C12" s="54" t="n">
        <v>0</v>
      </c>
      <c r="D12" s="20" t="s">
        <v>279</v>
      </c>
    </row>
    <row r="13" customFormat="false" ht="15" hidden="false" customHeight="false" outlineLevel="0" collapsed="false">
      <c r="A13" s="6" t="s">
        <v>280</v>
      </c>
      <c r="B13" s="54" t="n">
        <v>0</v>
      </c>
      <c r="C13" s="54" t="n">
        <v>0</v>
      </c>
      <c r="D13" s="20" t="s">
        <v>281</v>
      </c>
    </row>
    <row r="14" customFormat="false" ht="15" hidden="false" customHeight="false" outlineLevel="0" collapsed="false">
      <c r="A14" s="6" t="s">
        <v>282</v>
      </c>
      <c r="B14" s="54" t="n">
        <v>0</v>
      </c>
      <c r="C14" s="54" t="n">
        <v>0</v>
      </c>
      <c r="D14" s="20" t="s">
        <v>283</v>
      </c>
    </row>
    <row r="15" customFormat="false" ht="15" hidden="false" customHeight="false" outlineLevel="0" collapsed="false">
      <c r="A15" s="6" t="s">
        <v>284</v>
      </c>
      <c r="B15" s="54" t="n">
        <v>0</v>
      </c>
      <c r="C15" s="54" t="n">
        <v>0</v>
      </c>
      <c r="D15" s="20" t="s">
        <v>285</v>
      </c>
    </row>
    <row r="16" customFormat="false" ht="15" hidden="false" customHeight="false" outlineLevel="0" collapsed="false">
      <c r="A16" s="32" t="s">
        <v>286</v>
      </c>
      <c r="B16" s="33" t="n">
        <f aca="false">SUM(B10:B15)</f>
        <v>36778.3980074342</v>
      </c>
      <c r="C16" s="33" t="n">
        <f aca="false">SUM(C10:C15)</f>
        <v>0</v>
      </c>
      <c r="D16" s="5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5" min="3" style="0" width="16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5" t="s">
        <v>287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6"/>
      <c r="B2" s="6"/>
      <c r="C2" s="6"/>
      <c r="D2" s="6"/>
      <c r="E2" s="6"/>
      <c r="F2" s="6"/>
    </row>
    <row r="3" customFormat="false" ht="15" hidden="false" customHeight="false" outlineLevel="0" collapsed="false">
      <c r="A3" s="8" t="s">
        <v>175</v>
      </c>
      <c r="B3" s="8" t="s">
        <v>288</v>
      </c>
      <c r="C3" s="8" t="s">
        <v>27</v>
      </c>
      <c r="D3" s="8" t="s">
        <v>28</v>
      </c>
      <c r="E3" s="8" t="s">
        <v>29</v>
      </c>
      <c r="F3" s="8" t="s">
        <v>79</v>
      </c>
    </row>
    <row r="4" customFormat="false" ht="15" hidden="false" customHeight="false" outlineLevel="0" collapsed="false">
      <c r="A4" s="16" t="s">
        <v>289</v>
      </c>
      <c r="B4" s="17"/>
      <c r="C4" s="17"/>
      <c r="D4" s="17"/>
      <c r="E4" s="17"/>
      <c r="F4" s="56"/>
    </row>
    <row r="5" customFormat="false" ht="15" hidden="false" customHeight="false" outlineLevel="0" collapsed="false">
      <c r="A5" s="6" t="s">
        <v>290</v>
      </c>
      <c r="B5" s="6" t="s">
        <v>291</v>
      </c>
      <c r="C5" s="10" t="n">
        <f aca="false">Supuestos!$C$7*Supuestos!$C$11</f>
        <v>25600</v>
      </c>
      <c r="D5" s="10" t="n">
        <f aca="false">Supuestos!$D$7*Supuestos!$D$11</f>
        <v>27999</v>
      </c>
      <c r="E5" s="10" t="n">
        <f aca="false">Supuestos!$E$7*Supuestos!$E$11</f>
        <v>42999</v>
      </c>
      <c r="F5" s="57" t="s">
        <v>292</v>
      </c>
    </row>
    <row r="6" customFormat="false" ht="15" hidden="false" customHeight="false" outlineLevel="0" collapsed="false">
      <c r="A6" s="6" t="s">
        <v>293</v>
      </c>
      <c r="B6" s="6" t="s">
        <v>291</v>
      </c>
      <c r="C6" s="10" t="n">
        <f aca="false">Supuestos!$C$8*Supuestos!$C$12</f>
        <v>6080</v>
      </c>
      <c r="D6" s="10" t="n">
        <f aca="false">Supuestos!$D$8*Supuestos!$D$12</f>
        <v>7199</v>
      </c>
      <c r="E6" s="10" t="n">
        <f aca="false">Supuestos!$E$8*Supuestos!$E$12</f>
        <v>7999</v>
      </c>
      <c r="F6" s="57" t="s">
        <v>294</v>
      </c>
    </row>
    <row r="7" customFormat="false" ht="15" hidden="false" customHeight="false" outlineLevel="0" collapsed="false">
      <c r="A7" s="6" t="s">
        <v>295</v>
      </c>
      <c r="B7" s="6" t="s">
        <v>291</v>
      </c>
      <c r="C7" s="10" t="n">
        <f aca="false">Supuestos!$C$7*Supuestos!$C$13*Supuestos!$C$14</f>
        <v>0</v>
      </c>
      <c r="D7" s="10" t="n">
        <f aca="false">Supuestos!$D$7*Supuestos!$D$13*Supuestos!$D$14</f>
        <v>1499</v>
      </c>
      <c r="E7" s="10" t="n">
        <f aca="false">Supuestos!$E$7*Supuestos!$E$13*Supuestos!$E$14</f>
        <v>2998</v>
      </c>
      <c r="F7" s="57" t="s">
        <v>296</v>
      </c>
    </row>
    <row r="8" customFormat="false" ht="15" hidden="false" customHeight="false" outlineLevel="0" collapsed="false">
      <c r="A8" s="58" t="s">
        <v>297</v>
      </c>
      <c r="B8" s="58" t="s">
        <v>291</v>
      </c>
      <c r="C8" s="59" t="n">
        <f aca="false">SUM(C5:C7)</f>
        <v>31680</v>
      </c>
      <c r="D8" s="59" t="n">
        <f aca="false">SUM(D5:D7)</f>
        <v>36697</v>
      </c>
      <c r="E8" s="59" t="n">
        <f aca="false">SUM(E5:E7)</f>
        <v>53996</v>
      </c>
      <c r="F8" s="60" t="s">
        <v>298</v>
      </c>
    </row>
    <row r="9" customFormat="false" ht="15" hidden="false" customHeight="false" outlineLevel="0" collapsed="false">
      <c r="A9" s="6" t="s">
        <v>198</v>
      </c>
      <c r="B9" s="6" t="s">
        <v>291</v>
      </c>
      <c r="C9" s="14" t="n">
        <f aca="false">C8*Supuestos!$C$15</f>
        <v>1584</v>
      </c>
      <c r="D9" s="14" t="n">
        <f aca="false">D8*Supuestos!$D$15</f>
        <v>3669.7</v>
      </c>
      <c r="E9" s="14" t="n">
        <f aca="false">E8*Supuestos!$E$15</f>
        <v>8099.4</v>
      </c>
      <c r="F9" s="57" t="s">
        <v>299</v>
      </c>
    </row>
    <row r="10" customFormat="false" ht="15" hidden="false" customHeight="false" outlineLevel="0" collapsed="false">
      <c r="A10" s="6" t="s">
        <v>300</v>
      </c>
      <c r="B10" s="6" t="s">
        <v>291</v>
      </c>
      <c r="C10" s="14" t="n">
        <f aca="false">(C8+C9)*Supuestos!$C$16</f>
        <v>6320.16</v>
      </c>
      <c r="D10" s="14" t="n">
        <f aca="false">(D8+D9)*Supuestos!$D$16</f>
        <v>7669.673</v>
      </c>
      <c r="E10" s="14" t="n">
        <f aca="false">(E8+E9)*Supuestos!$E$16</f>
        <v>11798.126</v>
      </c>
      <c r="F10" s="57" t="s">
        <v>301</v>
      </c>
    </row>
    <row r="11" customFormat="false" ht="15" hidden="false" customHeight="false" outlineLevel="0" collapsed="false">
      <c r="A11" s="16" t="s">
        <v>203</v>
      </c>
      <c r="B11" s="17"/>
      <c r="C11" s="17"/>
      <c r="D11" s="17"/>
      <c r="E11" s="17"/>
      <c r="F11" s="56"/>
    </row>
    <row r="12" customFormat="false" ht="15" hidden="false" customHeight="false" outlineLevel="0" collapsed="false">
      <c r="A12" s="6" t="s">
        <v>302</v>
      </c>
      <c r="B12" s="6" t="s">
        <v>303</v>
      </c>
      <c r="C12" s="10" t="n">
        <f aca="false">Supuestos!$C$18</f>
        <v>1500</v>
      </c>
      <c r="D12" s="10" t="n">
        <f aca="false">Supuestos!$D$18</f>
        <v>2500</v>
      </c>
      <c r="E12" s="10" t="n">
        <f aca="false">Supuestos!$E$18</f>
        <v>4000</v>
      </c>
      <c r="F12" s="57" t="s">
        <v>304</v>
      </c>
    </row>
    <row r="13" customFormat="false" ht="15" hidden="false" customHeight="false" outlineLevel="0" collapsed="false">
      <c r="A13" s="6" t="s">
        <v>207</v>
      </c>
      <c r="B13" s="6" t="s">
        <v>303</v>
      </c>
      <c r="C13" s="10" t="n">
        <f aca="false">Supuestos!$C$19</f>
        <v>1000</v>
      </c>
      <c r="D13" s="10" t="n">
        <f aca="false">Supuestos!$D$19</f>
        <v>2000</v>
      </c>
      <c r="E13" s="10" t="n">
        <f aca="false">Supuestos!$E$19</f>
        <v>3500</v>
      </c>
      <c r="F13" s="57" t="s">
        <v>304</v>
      </c>
    </row>
    <row r="14" customFormat="false" ht="15" hidden="false" customHeight="false" outlineLevel="0" collapsed="false">
      <c r="A14" s="16" t="s">
        <v>305</v>
      </c>
      <c r="B14" s="17"/>
      <c r="C14" s="17"/>
      <c r="D14" s="17"/>
      <c r="E14" s="17"/>
      <c r="F14" s="56"/>
    </row>
    <row r="15" customFormat="false" ht="15" hidden="false" customHeight="false" outlineLevel="0" collapsed="false">
      <c r="A15" s="6" t="s">
        <v>306</v>
      </c>
      <c r="B15" s="6" t="s">
        <v>303</v>
      </c>
      <c r="C15" s="10" t="n">
        <f aca="false">Supuestos!$C$21*Supuestos!$C$22*Supuestos!$C$23/Supuestos!$C$6</f>
        <v>17068.2984802893</v>
      </c>
      <c r="D15" s="10" t="n">
        <f aca="false">Supuestos!$D$21*Supuestos!$D$22*Supuestos!$D$23/Supuestos!$D$6</f>
        <v>40458.1889903153</v>
      </c>
      <c r="E15" s="10" t="n">
        <f aca="false">Supuestos!$E$21*Supuestos!$E$22*Supuestos!$E$23/Supuestos!$E$6</f>
        <v>94823.8804460515</v>
      </c>
      <c r="F15" s="57" t="s">
        <v>307</v>
      </c>
    </row>
    <row r="16" customFormat="false" ht="15" hidden="false" customHeight="false" outlineLevel="0" collapsed="false">
      <c r="A16" s="16" t="s">
        <v>216</v>
      </c>
      <c r="B16" s="17"/>
      <c r="C16" s="17"/>
      <c r="D16" s="17"/>
      <c r="E16" s="17"/>
      <c r="F16" s="56"/>
    </row>
    <row r="17" customFormat="false" ht="15" hidden="false" customHeight="false" outlineLevel="0" collapsed="false">
      <c r="A17" s="6" t="s">
        <v>217</v>
      </c>
      <c r="B17" s="6" t="s">
        <v>303</v>
      </c>
      <c r="C17" s="10" t="n">
        <f aca="false">Supuestos!$C$25</f>
        <v>1000</v>
      </c>
      <c r="D17" s="10" t="n">
        <f aca="false">Supuestos!$D$25</f>
        <v>2000</v>
      </c>
      <c r="E17" s="10" t="n">
        <f aca="false">Supuestos!$E$25</f>
        <v>4000</v>
      </c>
      <c r="F17" s="57" t="s">
        <v>304</v>
      </c>
    </row>
    <row r="18" customFormat="false" ht="15" hidden="false" customHeight="false" outlineLevel="0" collapsed="false">
      <c r="A18" s="6" t="s">
        <v>308</v>
      </c>
      <c r="B18" s="6" t="s">
        <v>303</v>
      </c>
      <c r="C18" s="10" t="n">
        <f aca="false">Supuestos!$C$26/Supuestos!$C$6</f>
        <v>1580.39800743419</v>
      </c>
      <c r="D18" s="10" t="n">
        <f aca="false">Supuestos!$D$26/Supuestos!$D$6</f>
        <v>3160.79601486838</v>
      </c>
      <c r="E18" s="10" t="n">
        <f aca="false">Supuestos!$E$26/Supuestos!$E$6</f>
        <v>6321.59202973677</v>
      </c>
      <c r="F18" s="57" t="s">
        <v>309</v>
      </c>
    </row>
    <row r="19" customFormat="false" ht="15" hidden="false" customHeight="false" outlineLevel="0" collapsed="false">
      <c r="A19" s="6" t="s">
        <v>221</v>
      </c>
      <c r="B19" s="6" t="s">
        <v>303</v>
      </c>
      <c r="C19" s="10" t="n">
        <f aca="false">Supuestos!$C$27/Supuestos!$C$6</f>
        <v>632.159202973677</v>
      </c>
      <c r="D19" s="10" t="n">
        <f aca="false">Supuestos!$D$27/Supuestos!$D$6</f>
        <v>1264.31840594735</v>
      </c>
      <c r="E19" s="10" t="n">
        <f aca="false">Supuestos!$E$27/Supuestos!$E$6</f>
        <v>1896.47760892103</v>
      </c>
      <c r="F19" s="57" t="s">
        <v>309</v>
      </c>
    </row>
    <row r="20" customFormat="false" ht="15" hidden="false" customHeight="false" outlineLevel="0" collapsed="false">
      <c r="A20" s="6" t="s">
        <v>224</v>
      </c>
      <c r="B20" s="6" t="s">
        <v>303</v>
      </c>
      <c r="C20" s="10" t="n">
        <f aca="false">Supuestos!$C$29*Supuestos!$C$34*Supuestos!$C$28*Supuestos!$C$32/Supuestos!$C$33/Supuestos!$C$6</f>
        <v>1540.88805724834</v>
      </c>
      <c r="D20" s="10" t="n">
        <f aca="false">Supuestos!$D$29*Supuestos!$D$34*Supuestos!$D$28*Supuestos!$D$32/Supuestos!$D$33/Supuestos!$D$6</f>
        <v>2696.55410018459</v>
      </c>
      <c r="E20" s="10" t="n">
        <f aca="false">Supuestos!$E$29*Supuestos!$E$34*Supuestos!$E$28*Supuestos!$E$32/Supuestos!$E$33/Supuestos!$E$6</f>
        <v>4741.19402230258</v>
      </c>
      <c r="F20" s="57" t="s">
        <v>310</v>
      </c>
    </row>
    <row r="21" customFormat="false" ht="15" hidden="false" customHeight="false" outlineLevel="0" collapsed="false">
      <c r="A21" s="6" t="s">
        <v>311</v>
      </c>
      <c r="B21" s="6"/>
      <c r="C21" s="14" t="n">
        <f aca="false">C5+C6+C7+C9+C10+C12+C13+C15+C17+C18+C19+C20</f>
        <v>63905.9037479455</v>
      </c>
      <c r="D21" s="14" t="n">
        <f aca="false">D5+D6+D7+D9+D10+D12+D13+D15+D17+D18+D19+D20</f>
        <v>102116.230511316</v>
      </c>
      <c r="E21" s="14" t="n">
        <f aca="false">E5+E6+E7+E9+E10+E12+E13+E15+E17+E18+E19+E20</f>
        <v>193176.670107012</v>
      </c>
      <c r="F21" s="57" t="s">
        <v>312</v>
      </c>
    </row>
    <row r="22" customFormat="false" ht="15" hidden="false" customHeight="false" outlineLevel="0" collapsed="false">
      <c r="A22" s="6" t="s">
        <v>226</v>
      </c>
      <c r="B22" s="6"/>
      <c r="C22" s="14" t="n">
        <f aca="false">C21*Supuestos!$C$30</f>
        <v>6390.59037479455</v>
      </c>
      <c r="D22" s="14" t="n">
        <f aca="false">D21*Supuestos!$D$30</f>
        <v>12764.5288139145</v>
      </c>
      <c r="E22" s="14" t="n">
        <f aca="false">E21*Supuestos!$E$30</f>
        <v>28976.5005160518</v>
      </c>
      <c r="F22" s="57" t="s">
        <v>313</v>
      </c>
    </row>
    <row r="23" customFormat="false" ht="15" hidden="false" customHeight="false" outlineLevel="0" collapsed="false">
      <c r="A23" s="32" t="s">
        <v>314</v>
      </c>
      <c r="B23" s="32"/>
      <c r="C23" s="33" t="n">
        <f aca="false">C21+C22</f>
        <v>70296.49412274</v>
      </c>
      <c r="D23" s="33" t="n">
        <f aca="false">D21+D22</f>
        <v>114880.75932523</v>
      </c>
      <c r="E23" s="33" t="n">
        <f aca="false">E21+E22</f>
        <v>222153.170623064</v>
      </c>
      <c r="F23" s="61" t="s">
        <v>315</v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57"/>
    </row>
    <row r="25" customFormat="false" ht="15" hidden="false" customHeight="false" outlineLevel="0" collapsed="false">
      <c r="A25" s="19" t="s">
        <v>316</v>
      </c>
      <c r="B25" s="6"/>
      <c r="C25" s="6"/>
      <c r="D25" s="6"/>
      <c r="E25" s="6"/>
      <c r="F25" s="57"/>
    </row>
    <row r="26" customFormat="false" ht="15" hidden="false" customHeight="false" outlineLevel="0" collapsed="false">
      <c r="A26" s="6" t="s">
        <v>317</v>
      </c>
      <c r="B26" s="6"/>
      <c r="C26" s="14" t="n">
        <f aca="false">(Supuestos!$C$11+Supuestos!$C$13*Supuestos!$C$14)*(1+Supuestos!$C$15)*(1+Supuestos!$C$16)*(1+Supuestos!$C$30)</f>
        <v>35185.92</v>
      </c>
      <c r="D26" s="14" t="n">
        <f aca="false">(Supuestos!$D$11+Supuestos!$D$13*Supuestos!$D$14)*(1+Supuestos!$D$15)*(1+Supuestos!$D$16)*(1+Supuestos!$D$30)</f>
        <v>43439.49225</v>
      </c>
      <c r="E26" s="14" t="n">
        <f aca="false">(Supuestos!$E$11+Supuestos!$E$13*Supuestos!$E$14)*(1+Supuestos!$E$15)*(1+Supuestos!$E$16)*(1+Supuestos!$E$30)</f>
        <v>72388.928675</v>
      </c>
      <c r="F26" s="57" t="s">
        <v>318</v>
      </c>
    </row>
    <row r="27" customFormat="false" ht="15" hidden="false" customHeight="false" outlineLevel="0" collapsed="false">
      <c r="A27" s="6" t="s">
        <v>319</v>
      </c>
      <c r="B27" s="6"/>
      <c r="C27" s="14" t="n">
        <f aca="false">Supuestos!$C$12*(1+Supuestos!$C$15)*(1+Supuestos!$C$16)*(1+Supuestos!$C$30)</f>
        <v>8356.656</v>
      </c>
      <c r="D27" s="14" t="n">
        <f aca="false">Supuestos!$D$12*(1+Supuestos!$D$15)*(1+Supuestos!$D$16)*(1+Supuestos!$D$30)</f>
        <v>10601.427375</v>
      </c>
      <c r="E27" s="14" t="n">
        <f aca="false">Supuestos!$E$12*(1+Supuestos!$E$15)*(1+Supuestos!$E$16)*(1+Supuestos!$E$30)</f>
        <v>12588.626225</v>
      </c>
      <c r="F27" s="57" t="s">
        <v>320</v>
      </c>
    </row>
    <row r="28" customFormat="false" ht="15" hidden="false" customHeight="false" outlineLevel="0" collapsed="false">
      <c r="A28" s="6" t="s">
        <v>321</v>
      </c>
      <c r="B28" s="6"/>
      <c r="C28" s="14" t="n">
        <f aca="false">C23-Supuestos!$C$7*C26-Supuestos!$C$8*C27</f>
        <v>26753.91812274</v>
      </c>
      <c r="D28" s="14" t="n">
        <f aca="false">D23-Supuestos!$D$7*D26-Supuestos!$D$8*D27</f>
        <v>60839.8397002301</v>
      </c>
      <c r="E28" s="14" t="n">
        <f aca="false">E23-Supuestos!$E$7*E26-Supuestos!$E$8*E27</f>
        <v>137175.615723064</v>
      </c>
      <c r="F28" s="57" t="s">
        <v>322</v>
      </c>
    </row>
    <row r="29" customFormat="false" ht="15" hidden="false" customHeight="false" outlineLevel="0" collapsed="false">
      <c r="A29" s="6" t="s">
        <v>323</v>
      </c>
      <c r="B29" s="6"/>
      <c r="C29" s="14" t="n">
        <f aca="false">C8+C12+C13</f>
        <v>34180</v>
      </c>
      <c r="D29" s="14" t="n">
        <f aca="false">D8+D12+D13</f>
        <v>41197</v>
      </c>
      <c r="E29" s="14" t="n">
        <f aca="false">E8+E12+E13</f>
        <v>61496</v>
      </c>
      <c r="F29" s="57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5" min="3" style="0" width="16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5" t="s">
        <v>325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6"/>
      <c r="B2" s="6"/>
      <c r="C2" s="6"/>
      <c r="D2" s="6"/>
      <c r="E2" s="6"/>
      <c r="F2" s="6"/>
    </row>
    <row r="3" customFormat="false" ht="15" hidden="false" customHeight="false" outlineLevel="0" collapsed="false">
      <c r="A3" s="8" t="s">
        <v>175</v>
      </c>
      <c r="B3" s="8" t="s">
        <v>288</v>
      </c>
      <c r="C3" s="8" t="s">
        <v>27</v>
      </c>
      <c r="D3" s="8" t="s">
        <v>28</v>
      </c>
      <c r="E3" s="8" t="s">
        <v>29</v>
      </c>
      <c r="F3" s="8" t="s">
        <v>79</v>
      </c>
    </row>
    <row r="4" customFormat="false" ht="15" hidden="false" customHeight="false" outlineLevel="0" collapsed="false">
      <c r="A4" s="6" t="s">
        <v>237</v>
      </c>
      <c r="B4" s="6" t="s">
        <v>303</v>
      </c>
      <c r="C4" s="10" t="n">
        <f aca="false">Supuestos!$C$36*12</f>
        <v>600</v>
      </c>
      <c r="D4" s="10" t="n">
        <f aca="false">Supuestos!$D$36*12</f>
        <v>1800</v>
      </c>
      <c r="E4" s="10" t="n">
        <f aca="false">Supuestos!$E$36*12</f>
        <v>4800</v>
      </c>
      <c r="F4" s="57" t="s">
        <v>326</v>
      </c>
    </row>
    <row r="5" customFormat="false" ht="15" hidden="false" customHeight="false" outlineLevel="0" collapsed="false">
      <c r="A5" s="6" t="s">
        <v>239</v>
      </c>
      <c r="B5" s="6" t="s">
        <v>291</v>
      </c>
      <c r="C5" s="10" t="n">
        <f aca="false">Supuestos!$C$7*Supuestos!$C$37*12</f>
        <v>600</v>
      </c>
      <c r="D5" s="10" t="n">
        <f aca="false">Supuestos!$D$7*Supuestos!$D$37*12</f>
        <v>1800</v>
      </c>
      <c r="E5" s="10" t="n">
        <f aca="false">Supuestos!$E$7*Supuestos!$E$37*12</f>
        <v>4800</v>
      </c>
      <c r="F5" s="57" t="s">
        <v>327</v>
      </c>
    </row>
    <row r="6" customFormat="false" ht="15" hidden="false" customHeight="false" outlineLevel="0" collapsed="false">
      <c r="A6" s="6" t="s">
        <v>242</v>
      </c>
      <c r="B6" s="6" t="s">
        <v>291</v>
      </c>
      <c r="C6" s="10" t="n">
        <f aca="false">B_Inversion!C29*Supuestos!$C$38</f>
        <v>2734.4</v>
      </c>
      <c r="D6" s="10" t="n">
        <f aca="false">B_Inversion!D29*Supuestos!$D$38</f>
        <v>4943.64</v>
      </c>
      <c r="E6" s="10" t="n">
        <f aca="false">B_Inversion!E29*Supuestos!$E$38</f>
        <v>9224.4</v>
      </c>
      <c r="F6" s="57" t="s">
        <v>328</v>
      </c>
    </row>
    <row r="7" customFormat="false" ht="15" hidden="false" customHeight="false" outlineLevel="0" collapsed="false">
      <c r="A7" s="6" t="s">
        <v>249</v>
      </c>
      <c r="B7" s="6" t="s">
        <v>291</v>
      </c>
      <c r="C7" s="10" t="n">
        <f aca="false">B_Inversion!C29*Supuestos!$C$41</f>
        <v>512.7</v>
      </c>
      <c r="D7" s="10" t="n">
        <f aca="false">B_Inversion!D29*Supuestos!$D$41</f>
        <v>823.94</v>
      </c>
      <c r="E7" s="10" t="n">
        <f aca="false">B_Inversion!E29*Supuestos!$E$41</f>
        <v>1844.88</v>
      </c>
      <c r="F7" s="57" t="s">
        <v>328</v>
      </c>
    </row>
    <row r="8" customFormat="false" ht="15" hidden="false" customHeight="false" outlineLevel="0" collapsed="false">
      <c r="A8" s="6" t="s">
        <v>244</v>
      </c>
      <c r="B8" s="6" t="s">
        <v>303</v>
      </c>
      <c r="C8" s="10" t="n">
        <f aca="false">Supuestos!$C$39*Supuestos!$C$23*12/Supuestos!$C$6</f>
        <v>5689.43282676309</v>
      </c>
      <c r="D8" s="10" t="n">
        <f aca="false">Supuestos!$D$39*Supuestos!$D$23*12/Supuestos!$D$6</f>
        <v>15171.8208713682</v>
      </c>
      <c r="E8" s="10" t="n">
        <f aca="false">Supuestos!$E$39*Supuestos!$E$23*12/Supuestos!$E$6</f>
        <v>37929.5521784206</v>
      </c>
      <c r="F8" s="57" t="s">
        <v>329</v>
      </c>
    </row>
    <row r="9" customFormat="false" ht="15" hidden="false" customHeight="false" outlineLevel="0" collapsed="false">
      <c r="A9" s="6" t="s">
        <v>330</v>
      </c>
      <c r="B9" s="6" t="s">
        <v>303</v>
      </c>
      <c r="C9" s="10" t="n">
        <f aca="false">Supuestos!$C$40*Supuestos!$C$34*12*Supuestos!$C$32/Supuestos!$C$33/Supuestos!$C$6</f>
        <v>1540.88805724834</v>
      </c>
      <c r="D9" s="10" t="n">
        <f aca="false">Supuestos!$D$40*Supuestos!$D$34*12*Supuestos!$D$32/Supuestos!$D$33/Supuestos!$D$6</f>
        <v>3595.40546691279</v>
      </c>
      <c r="E9" s="10" t="n">
        <f aca="false">Supuestos!$E$40*Supuestos!$E$34*12*Supuestos!$E$32/Supuestos!$E$33/Supuestos!$E$6</f>
        <v>7111.79103345387</v>
      </c>
      <c r="F9" s="57" t="s">
        <v>331</v>
      </c>
    </row>
    <row r="10" customFormat="false" ht="15" hidden="false" customHeight="false" outlineLevel="0" collapsed="false">
      <c r="A10" s="6" t="s">
        <v>250</v>
      </c>
      <c r="B10" s="6" t="s">
        <v>303</v>
      </c>
      <c r="C10" s="10" t="n">
        <f aca="false">Supuestos!$C$42/Supuestos!$C$6</f>
        <v>316.079601486838</v>
      </c>
      <c r="D10" s="10" t="n">
        <f aca="false">Supuestos!$D$42/Supuestos!$D$6</f>
        <v>632.159202973677</v>
      </c>
      <c r="E10" s="10" t="n">
        <f aca="false">Supuestos!$E$42/Supuestos!$E$6</f>
        <v>948.238804460515</v>
      </c>
      <c r="F10" s="57" t="s">
        <v>309</v>
      </c>
    </row>
    <row r="11" customFormat="false" ht="15" hidden="false" customHeight="false" outlineLevel="0" collapsed="false">
      <c r="A11" s="6" t="s">
        <v>252</v>
      </c>
      <c r="B11" s="6" t="s">
        <v>291</v>
      </c>
      <c r="C11" s="10" t="n">
        <f aca="false">(Supuestos!$C$7+Supuestos!$C$8)*Supuestos!$C$43</f>
        <v>100</v>
      </c>
      <c r="D11" s="10" t="n">
        <f aca="false">(Supuestos!$D$7+Supuestos!$D$8)*Supuestos!$D$43</f>
        <v>200</v>
      </c>
      <c r="E11" s="10" t="n">
        <f aca="false">(Supuestos!$E$7+Supuestos!$E$8)*Supuestos!$E$43</f>
        <v>300</v>
      </c>
      <c r="F11" s="57" t="s">
        <v>332</v>
      </c>
    </row>
    <row r="12" customFormat="false" ht="15" hidden="false" customHeight="false" outlineLevel="0" collapsed="false">
      <c r="A12" s="6" t="s">
        <v>333</v>
      </c>
      <c r="B12" s="6"/>
      <c r="C12" s="14" t="n">
        <f aca="false">SUM(C4:C11)</f>
        <v>12093.5004854983</v>
      </c>
      <c r="D12" s="14" t="n">
        <f aca="false">SUM(D4:D11)</f>
        <v>28966.9655412547</v>
      </c>
      <c r="E12" s="14" t="n">
        <f aca="false">SUM(E4:E11)</f>
        <v>66958.862016335</v>
      </c>
      <c r="F12" s="57" t="s">
        <v>298</v>
      </c>
    </row>
    <row r="13" customFormat="false" ht="15" hidden="false" customHeight="false" outlineLevel="0" collapsed="false">
      <c r="A13" s="6" t="s">
        <v>226</v>
      </c>
      <c r="B13" s="6"/>
      <c r="C13" s="14" t="n">
        <f aca="false">C12*Supuestos!$C$30</f>
        <v>1209.35004854983</v>
      </c>
      <c r="D13" s="14" t="n">
        <f aca="false">D12*Supuestos!$D$30</f>
        <v>3620.87069265684</v>
      </c>
      <c r="E13" s="14" t="n">
        <f aca="false">E12*Supuestos!$E$30</f>
        <v>10043.8293024502</v>
      </c>
      <c r="F13" s="57" t="s">
        <v>334</v>
      </c>
    </row>
    <row r="14" customFormat="false" ht="15" hidden="false" customHeight="false" outlineLevel="0" collapsed="false">
      <c r="A14" s="32" t="s">
        <v>335</v>
      </c>
      <c r="B14" s="32"/>
      <c r="C14" s="33" t="n">
        <f aca="false">C12+C13</f>
        <v>13302.8505340481</v>
      </c>
      <c r="D14" s="33" t="n">
        <f aca="false">D12+D13</f>
        <v>32587.8362339115</v>
      </c>
      <c r="E14" s="33" t="n">
        <f aca="false">E12+E13</f>
        <v>77002.6913187853</v>
      </c>
      <c r="F14" s="61" t="s">
        <v>315</v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57"/>
    </row>
    <row r="16" customFormat="false" ht="15" hidden="false" customHeight="false" outlineLevel="0" collapsed="false">
      <c r="A16" s="19" t="s">
        <v>316</v>
      </c>
      <c r="B16" s="6"/>
      <c r="C16" s="6"/>
      <c r="D16" s="6"/>
      <c r="E16" s="6"/>
      <c r="F16" s="57"/>
    </row>
    <row r="17" customFormat="false" ht="15" hidden="false" customHeight="false" outlineLevel="0" collapsed="false">
      <c r="A17" s="6" t="s">
        <v>336</v>
      </c>
      <c r="B17" s="6"/>
      <c r="C17" s="14" t="n">
        <f aca="false">(Supuestos!$C$37*12+(Supuestos!$C$11+Supuestos!$C$13*Supuestos!$C$14)*(Supuestos!$C$38+Supuestos!$C$41)+Supuestos!$C$43)*(1+Supuestos!$C$30)</f>
        <v>3390.2</v>
      </c>
      <c r="D17" s="14" t="n">
        <f aca="false">(Supuestos!$D$37*12+(Supuestos!$D$11+Supuestos!$D$13*Supuestos!$D$14)*(Supuestos!$D$38+Supuestos!$D$41)+Supuestos!$D$43)*(1+Supuestos!$D$30)</f>
        <v>6783.435</v>
      </c>
      <c r="E17" s="14" t="n">
        <f aca="false">(Supuestos!$E$37*12+(Supuestos!$E$11+Supuestos!$E$13*Supuestos!$E$14)*(Supuestos!$E$38+Supuestos!$E$41)+Supuestos!$E$43)*(1+Supuestos!$E$30)</f>
        <v>15213.879</v>
      </c>
      <c r="F17" s="57" t="s">
        <v>337</v>
      </c>
    </row>
    <row r="18" customFormat="false" ht="15" hidden="false" customHeight="false" outlineLevel="0" collapsed="false">
      <c r="A18" s="6" t="s">
        <v>338</v>
      </c>
      <c r="B18" s="6"/>
      <c r="C18" s="14" t="n">
        <f aca="false">(Supuestos!$C$12*(Supuestos!$C$38+Supuestos!$C$41)+Supuestos!$C$43)*(1+Supuestos!$C$30)</f>
        <v>690.36</v>
      </c>
      <c r="D18" s="14" t="n">
        <f aca="false">(Supuestos!$D$12*(Supuestos!$D$38+Supuestos!$D$41)+Supuestos!$D$43)*(1+Supuestos!$D$30)</f>
        <v>1246.3425</v>
      </c>
      <c r="E18" s="14" t="n">
        <f aca="false">(Supuestos!$E$12*(Supuestos!$E$38+Supuestos!$E$41)+Supuestos!$E$43)*(1+Supuestos!$E$30)</f>
        <v>1828.293</v>
      </c>
      <c r="F18" s="57" t="s">
        <v>339</v>
      </c>
    </row>
    <row r="19" customFormat="false" ht="15" hidden="false" customHeight="false" outlineLevel="0" collapsed="false">
      <c r="A19" s="6" t="s">
        <v>321</v>
      </c>
      <c r="B19" s="6"/>
      <c r="C19" s="14" t="n">
        <f aca="false">C14-Supuestos!$C$7*C17-Supuestos!$C$8*C18</f>
        <v>9222.29053404809</v>
      </c>
      <c r="D19" s="14" t="n">
        <f aca="false">D14-Supuestos!$D$7*D17-Supuestos!$D$8*D18</f>
        <v>24558.0587339115</v>
      </c>
      <c r="E19" s="14" t="n">
        <f aca="false">E14-Supuestos!$E$7*E17-Supuestos!$E$8*E18</f>
        <v>59960.5193187853</v>
      </c>
      <c r="F19" s="57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5" t="s">
        <v>256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62" t="s">
        <v>340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</row>
    <row r="4" customFormat="false" ht="15" hidden="false" customHeight="false" outlineLevel="0" collapsed="false">
      <c r="A4" s="8" t="s">
        <v>140</v>
      </c>
      <c r="B4" s="8" t="s">
        <v>26</v>
      </c>
      <c r="C4" s="8" t="s">
        <v>27</v>
      </c>
      <c r="D4" s="8" t="s">
        <v>28</v>
      </c>
      <c r="E4" s="8" t="s">
        <v>29</v>
      </c>
      <c r="F4" s="63" t="s">
        <v>79</v>
      </c>
    </row>
    <row r="5" customFormat="false" ht="15" hidden="false" customHeight="false" outlineLevel="0" collapsed="false">
      <c r="A5" s="6" t="s">
        <v>341</v>
      </c>
      <c r="B5" s="6" t="s">
        <v>342</v>
      </c>
      <c r="C5" s="64" t="n">
        <f aca="false">Supuestos!$C$47*Supuestos!$C$34</f>
        <v>2080</v>
      </c>
      <c r="D5" s="64" t="n">
        <f aca="false">Supuestos!$D$47*Supuestos!$D$34</f>
        <v>3120</v>
      </c>
      <c r="E5" s="64" t="n">
        <f aca="false">Supuestos!$E$47*Supuestos!$E$34</f>
        <v>4800</v>
      </c>
      <c r="F5" s="57" t="s">
        <v>343</v>
      </c>
    </row>
    <row r="6" customFormat="false" ht="15" hidden="false" customHeight="false" outlineLevel="0" collapsed="false">
      <c r="A6" s="6" t="s">
        <v>344</v>
      </c>
      <c r="B6" s="6" t="s">
        <v>345</v>
      </c>
      <c r="C6" s="18" t="n">
        <f aca="false">C5*Supuestos!$C$48/60</f>
        <v>69.3333333333333</v>
      </c>
      <c r="D6" s="18" t="n">
        <f aca="false">D5*Supuestos!$D$48/60</f>
        <v>156</v>
      </c>
      <c r="E6" s="18" t="n">
        <f aca="false">E5*Supuestos!$E$48/60</f>
        <v>320</v>
      </c>
      <c r="F6" s="57" t="s">
        <v>346</v>
      </c>
    </row>
    <row r="7" customFormat="false" ht="15" hidden="false" customHeight="false" outlineLevel="0" collapsed="false">
      <c r="A7" s="6" t="s">
        <v>347</v>
      </c>
      <c r="B7" s="6" t="s">
        <v>345</v>
      </c>
      <c r="C7" s="18" t="n">
        <f aca="false">C6*Supuestos!$C$49</f>
        <v>20.8</v>
      </c>
      <c r="D7" s="18" t="n">
        <f aca="false">D6*Supuestos!$D$49</f>
        <v>46.8</v>
      </c>
      <c r="E7" s="18" t="n">
        <f aca="false">E6*Supuestos!$E$49</f>
        <v>96</v>
      </c>
      <c r="F7" s="57" t="s">
        <v>348</v>
      </c>
    </row>
    <row r="8" customFormat="false" ht="15" hidden="false" customHeight="false" outlineLevel="0" collapsed="false">
      <c r="A8" s="6" t="s">
        <v>349</v>
      </c>
      <c r="B8" s="6" t="s">
        <v>40</v>
      </c>
      <c r="C8" s="14" t="n">
        <f aca="false">C7*Supuestos!$C$32/Supuestos!$C$33/Supuestos!$C$6</f>
        <v>102.725870483222</v>
      </c>
      <c r="D8" s="14" t="n">
        <f aca="false">D7*Supuestos!$D$32/Supuestos!$D$33/Supuestos!$D$6</f>
        <v>269.655410018459</v>
      </c>
      <c r="E8" s="14" t="n">
        <f aca="false">E7*Supuestos!$E$32/Supuestos!$E$33/Supuestos!$E$6</f>
        <v>632.159202973677</v>
      </c>
      <c r="F8" s="57" t="s">
        <v>350</v>
      </c>
    </row>
    <row r="9" customFormat="false" ht="15" hidden="false" customHeight="false" outlineLevel="0" collapsed="false">
      <c r="A9" s="6" t="s">
        <v>351</v>
      </c>
      <c r="B9" s="6" t="s">
        <v>40</v>
      </c>
      <c r="C9" s="10" t="n">
        <f aca="false">B_Inversion!C23/Supuestos!$C$9+C_Operacion!C14/12</f>
        <v>3061.25127013568</v>
      </c>
      <c r="D9" s="10" t="n">
        <f aca="false">B_Inversion!D23/Supuestos!$D$9+C_Operacion!D14/12</f>
        <v>5906.78522297124</v>
      </c>
      <c r="E9" s="10" t="n">
        <f aca="false">B_Inversion!E23/Supuestos!$E$9+C_Operacion!E14/12</f>
        <v>12587.8123494283</v>
      </c>
      <c r="F9" s="57" t="s">
        <v>352</v>
      </c>
    </row>
    <row r="10" customFormat="false" ht="15" hidden="false" customHeight="false" outlineLevel="0" collapsed="false">
      <c r="A10" s="6" t="s">
        <v>353</v>
      </c>
      <c r="B10" s="6" t="s">
        <v>32</v>
      </c>
      <c r="C10" s="65" t="n">
        <f aca="false">IF(C5=0,0,C9/C5)</f>
        <v>1.47175541833446</v>
      </c>
      <c r="D10" s="65" t="n">
        <f aca="false">IF(D5=0,0,D9/D5)</f>
        <v>1.89320039197796</v>
      </c>
      <c r="E10" s="65" t="n">
        <f aca="false">IF(E5=0,0,E9/E5)</f>
        <v>2.6224609061309</v>
      </c>
      <c r="F10" s="57" t="s">
        <v>354</v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57"/>
    </row>
    <row r="12" customFormat="false" ht="31.5" hidden="false" customHeight="true" outlineLevel="0" collapsed="false">
      <c r="A12" s="66" t="s">
        <v>355</v>
      </c>
      <c r="B12" s="66"/>
      <c r="C12" s="66"/>
      <c r="D12" s="66"/>
      <c r="E12" s="66"/>
      <c r="F12" s="66"/>
    </row>
  </sheetData>
  <mergeCells count="1"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2026-10-24T13:54:21Z</dcterms:created>
  <dc:creator>openpyxl</dc:creator>
  <dc:description/>
  <dc:language>en-US</dc:language>
  <cp:lastModifiedBy/>
  <dcterms:modified xsi:type="dcterms:W3CDTF">2026-10-24T13:54:21Z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